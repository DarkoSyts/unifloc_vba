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4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5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6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7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8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9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0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1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2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3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4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5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6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7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8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9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40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41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42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olegk\Documents\unifloc_vba\ИРМ\"/>
    </mc:Choice>
  </mc:AlternateContent>
  <xr:revisionPtr revIDLastSave="0" documentId="13_ncr:1_{0C38C16E-AEB4-47C2-9F27-876621A99BDC}" xr6:coauthVersionLast="43" xr6:coauthVersionMax="43" xr10:uidLastSave="{00000000-0000-0000-0000-000000000000}"/>
  <bookViews>
    <workbookView xWindow="-120" yWindow="-120" windowWidth="24240" windowHeight="13140" tabRatio="529" firstSheet="1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УЭЦН" sheetId="7" r:id="rId4"/>
    <sheet name="Скважина_расчет" sheetId="2" r:id="rId5"/>
    <sheet name="Лист1" sheetId="8" r:id="rId6"/>
  </sheets>
  <externalReferences>
    <externalReference r:id="rId7"/>
  </externalReferences>
  <definedNames>
    <definedName name="a1a1">УЭЦН!$B$17</definedName>
    <definedName name="betta_fric_">Скважина_расчет!$H$8</definedName>
    <definedName name="betta_grav_">Скважина_расчет!$H$7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able_dPower_out">Скважина_расчет!$Z$11</definedName>
    <definedName name="calc_with_emulsion">Скважина_расчет!$O$2</definedName>
    <definedName name="cor_Emulsion">Скважина_расчет!$T$8</definedName>
    <definedName name="correlation_MF_fontan_">Скважина_расчет!$J$3</definedName>
    <definedName name="correlation_PVT_fontan_">Скважина_расчет!$E$3</definedName>
    <definedName name="correlation_T_fontan_">Скважина_расчет!$O$3</definedName>
    <definedName name="cos_phi_">Скважина_расчет!$W$8</definedName>
    <definedName name="dcas_arr_mm_">'Конструкция фонтан'!$I$19:$I$38</definedName>
    <definedName name="dcas_mm_">'Конструкция фонтан'!$H$5</definedName>
    <definedName name="dcas_out_mm_">'Конструкция фонтан'!$V$18:$V$38</definedName>
    <definedName name="dchoke_mm_">'Конструкция фонтан'!$C$13</definedName>
    <definedName name="dPower_CS_out">Скважина_расчет!$Z$14</definedName>
    <definedName name="dPower_GasSep_out">Скважина_расчет!$Z$8</definedName>
    <definedName name="dPower_protector_out">Скважина_расчет!$Z$7</definedName>
    <definedName name="dPower_transform_out">Скважина_расчет!$Z$13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ff_list_dp_">УЭЦН!$AA$8:$AA$29</definedName>
    <definedName name="eff_list_dp_bigger">УЭЦН!$AC$8:$AC$29</definedName>
    <definedName name="eff_list_dp_smaller">УЭЦН!$AB$8:$AB$29</definedName>
    <definedName name="eff_rp_list_">УЭЦН!$U$8:$U$29</definedName>
    <definedName name="eff_rp_list_bigger">УЭЦН!$W$8:$W$29</definedName>
    <definedName name="eff_rp_list_smaller">УЭЦН!$V$8:$V$29</definedName>
    <definedName name="EffESP_out_d">Скважина_расчет!$W$11</definedName>
    <definedName name="efficency_ESP_total_out_d">Скважина_расчет!$W$12</definedName>
    <definedName name="ESP_eff_list_">УЭЦН!$K$8:$K$29</definedName>
    <definedName name="ESP_eff_list_mu_bigger">УЭЦН!$N$8:$N$29</definedName>
    <definedName name="ESP_eff_list_mu_smaller">УЭЦН!$Q$8:$Q$29</definedName>
    <definedName name="ESP_freq_">УЭЦН!$C$6</definedName>
    <definedName name="ESP_head_list_">УЭЦН!$I$8:$I$29</definedName>
    <definedName name="ESP_head_list_mu_bigger">УЭЦН!$L$8:$L$29</definedName>
    <definedName name="ESP_head_list_mu_smaller">УЭЦН!$O$8:$O$29</definedName>
    <definedName name="ESP_head_nom_">УЭЦН!$C$5</definedName>
    <definedName name="ESP_ID_">УЭЦН!$C$7</definedName>
    <definedName name="ESP_list_dP">УЭЦН!$R$8:$R$29</definedName>
    <definedName name="ESP_list_dP_bigger">УЭЦН!$T$8:$T$29</definedName>
    <definedName name="ESP_list_dP_smaller">УЭЦН!$S$8:$S$29</definedName>
    <definedName name="ESP_name_">УЭЦН!$C$8</definedName>
    <definedName name="ESP_power_list_">УЭЦН!$J$8:$J$29</definedName>
    <definedName name="ESP_power_list_mu_bigger">УЭЦН!$M$8:$M$29</definedName>
    <definedName name="ESP_power_list_mu_smaller">УЭЦН!$P$8:$P$29</definedName>
    <definedName name="ESP_qmax_">УЭЦН!$C$9</definedName>
    <definedName name="ESP_rate_list_">УЭЦН!$H$8:$H$29</definedName>
    <definedName name="ESP_rate_nom_">УЭЦН!$C$4</definedName>
    <definedName name="ESP_stages_">УЭЦН!$C$10</definedName>
    <definedName name="Freq_" localSheetId="3">УЭЦН!$C$34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УЭЦН!$C$33</definedName>
    <definedName name="Hlout_">Скважина_расчет!$S$17:$S$37</definedName>
    <definedName name="Hlout_hmes_m_">Скважина_расчет!$R$17:$R$37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Скважина_расчет!$C$18:$C$354</definedName>
    <definedName name="hmes_out_">Скважина_расчет!$H$17:$H$37</definedName>
    <definedName name="hmes_tamb_m_">'Конструкция фонтан'!$E$19:$E$38</definedName>
    <definedName name="hmes_tamb_out_m_" localSheetId="4">Скважина_расчет!$K$17:$K$37</definedName>
    <definedName name="hmes_tamb_out_m_">'Конструкция фонтан'!$S$18:$S$38</definedName>
    <definedName name="Hout_">Скважина_расчет!$N$18:$N$37</definedName>
    <definedName name="Hperf_m_">'Конструкция фонтан'!$C$9</definedName>
    <definedName name="Hpump_">УЭЦН!$C$16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Скважина_расчет!$L$17:$L$37</definedName>
    <definedName name="HydrCorr_">Скважина_расчет!$AA$7</definedName>
    <definedName name="HydrCorr_selector_">Скважина_расчет!$AO$4</definedName>
    <definedName name="I_out_A">Скважина_расчет!$W$13</definedName>
    <definedName name="kek">УЭЦН!$U$8:$Y$29</definedName>
    <definedName name="kekspeks">УЭЦН!$U$8:$Z$29</definedName>
    <definedName name="Ksep_" localSheetId="1">PVT!$O$8</definedName>
    <definedName name="Load_fr_out">Скважина_расчет!$W$14</definedName>
    <definedName name="motor_eff_fr_">Скважина_расчет!$W$4</definedName>
    <definedName name="mu_cP_" localSheetId="1">PVT!$G$17</definedName>
    <definedName name="mu_cP_mix">PVT!$C$45</definedName>
    <definedName name="mu_cP_mix_">PVT!$C$45</definedName>
    <definedName name="mu_cSt">PVT!$C$50</definedName>
    <definedName name="mu_cSt_bigger">УЭЦН!$L$6</definedName>
    <definedName name="mu_cSt_smaller">УЭЦН!$O$6</definedName>
    <definedName name="mu_multiply">УЭЦН!$C$11</definedName>
    <definedName name="MuMix_hmes_">Скважина_расчет!$Y$17:$Y$37</definedName>
    <definedName name="MuMix_out_cP_">Скважина_расчет!$T$17:$T$37</definedName>
    <definedName name="muo_list1_">PVT!$M$59:$M$99</definedName>
    <definedName name="muo_list2_">PVT!$N$59:$N$99</definedName>
    <definedName name="muo_list3_">PVT!$O$59:$O$99</definedName>
    <definedName name="out_1">Скважина_расчет!$AA$60:$AA$101</definedName>
    <definedName name="out_2">Скважина_расчет!$AB$60:$AB$101</definedName>
    <definedName name="out_3">Скважина_расчет!$AC$60:$AC$101</definedName>
    <definedName name="out_4">Скважина_расчет!$AD$60:$AD$101</definedName>
    <definedName name="out_5">Скважина_расчет!$AE$60:$AE$101</definedName>
    <definedName name="out_6">Скважина_расчет!$AF$60:$AF$101</definedName>
    <definedName name="out_7">Скважина_расчет!$AG$60:$AG$101</definedName>
    <definedName name="out_8">Скважина_расчет!$AH$60:$AH$101</definedName>
    <definedName name="out_9">Скважина_расчет!$AI$60:$AI$101</definedName>
    <definedName name="P_atma_" localSheetId="1">PVT!$C$8</definedName>
    <definedName name="P_dis_atma">Скважина_расчет!$Q$14</definedName>
    <definedName name="P_mes_atma_">Скважина_расчет!$D$18:$D$354</definedName>
    <definedName name="p_PowerESP_out_Wt">Скважина_расчет!$Z$5</definedName>
    <definedName name="p_PressureDegradation_">Скважина_расчет!$T$5</definedName>
    <definedName name="p_RateDegradation_">Скважина_расчет!$T$6</definedName>
    <definedName name="Pb_atma_" localSheetId="1">PVT!$G$15</definedName>
    <definedName name="Pb_diff_">PVT!$W$33</definedName>
    <definedName name="Pbuf_atma_">Скважина_расчет!$Q$7</definedName>
    <definedName name="Pbuf_out_atma_">Скважина_расчет!$Q$12</definedName>
    <definedName name="Pcas_atma_">Скважина_расчет!$Q$9</definedName>
    <definedName name="Pcas_hmes_">Скважина_расчет!$W$17:$W$37</definedName>
    <definedName name="Pcas_out_atma_">Скважина_расчет!$X$17:$X$37</definedName>
    <definedName name="Pdis_atma">Скважина_расчет!$Q$14</definedName>
    <definedName name="Pint_atma">Скважина_расчет!$Q$15</definedName>
    <definedName name="Plin_mes_atma_">Скважина_расчет!$D$17</definedName>
    <definedName name="Pline_atma_">Скважина_расчет!$Q$6</definedName>
    <definedName name="Pline_out_atma_">Скважина_расчет!$Q$11</definedName>
    <definedName name="pmes_out_">Скважина_расчет!$I$17:$I$37</definedName>
    <definedName name="Pout_">Скважина_расчет!$O$18:$O$37</definedName>
    <definedName name="Pout_atma_">Скважина_расчет!$O$17:$O$37</definedName>
    <definedName name="Pout_hmes_m_">Скважина_расчет!$N$17:$N$37</definedName>
    <definedName name="Power_CS_out">Скважина_расчет!$Z$15</definedName>
    <definedName name="power_degr_fr_">Скважина_расчет!$T$7</definedName>
    <definedName name="power_in_cable_out">Скважина_расчет!$Z$12</definedName>
    <definedName name="Power_Motor_nom_">УЭЦН!$C$14</definedName>
    <definedName name="Power_motor_nom_kWt_">УЭЦН!$C$3</definedName>
    <definedName name="Power_motor_out">Скважина_расчет!$Z$10</definedName>
    <definedName name="power_rp_list_">УЭЦН!$X$8:$X$29</definedName>
    <definedName name="power_rp_list_bigger">УЭЦН!$Z$8:$Z$29</definedName>
    <definedName name="power_rp_list_smaller">УЭЦН!$Y$8:$Y$29</definedName>
    <definedName name="Power_shaft_out">Скважина_расчет!$Z$9</definedName>
    <definedName name="PowerFliud_out_">Скважина_расчет!$Z$6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УЭЦН!$H$5</definedName>
    <definedName name="PumpID_" localSheetId="3">УЭЦН!$C$35</definedName>
    <definedName name="PVT_correlation_" localSheetId="1">PVT!$H$3</definedName>
    <definedName name="PVT_selector_">Скважина_расчет!$AK$4</definedName>
    <definedName name="Pwf_atma_">Скважина_расчет!$Q$8</definedName>
    <definedName name="Pwf_out_atma_">Скважина_расчет!$Q$13</definedName>
    <definedName name="Q_ESP_" localSheetId="3">УЭЦН!$C$32</definedName>
    <definedName name="Ql_scm3day_" localSheetId="1">PVT!$K$8</definedName>
    <definedName name="Ql_scm3day_" localSheetId="4">Скважина_расчет!$C$7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Скважина_расчет!$C$10</definedName>
    <definedName name="Rp_m3m3_bigger">УЭЦН!$T$6</definedName>
    <definedName name="Rp_m3m3_smaller">УЭЦН!$S$6</definedName>
    <definedName name="rp_multiply">УЭЦН!$C$12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3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0.55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1.5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0.55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Скважина_расчет!$E$18:$E$354</definedName>
    <definedName name="tamb_C_">'Конструкция фонтан'!$F$19:$F$38</definedName>
    <definedName name="tamb_out_C_" localSheetId="4">Скважина_расчет!$M$17:$M$37</definedName>
    <definedName name="tamb_out_C_">'Конструкция фонтан'!$T$18:$T$38</definedName>
    <definedName name="Tbh_c_">Скважина_расчет!$M$7</definedName>
    <definedName name="Tbuf_out_C_">Скважина_расчет!$T$12</definedName>
    <definedName name="Tdis_C">Скважина_расчет!$T$14</definedName>
    <definedName name="Tint_C">Скважина_расчет!$T$15</definedName>
    <definedName name="Tlin_mes_C_">Скважина_расчет!$E$17</definedName>
    <definedName name="Tline_out_C_">Скважина_расчет!$T$11</definedName>
    <definedName name="tmes_out_">Скважина_расчет!$J$17:$J$37</definedName>
    <definedName name="Tout_C_">Скважина_расчет!$Q$17:$Q$37</definedName>
    <definedName name="Tout_hmes_m_">Скважина_расчет!$P$17:$P$37</definedName>
    <definedName name="Tres_C_" localSheetId="1">PVT!$G$14</definedName>
    <definedName name="Tsc_C_" localSheetId="1">PVT!$K$3</definedName>
    <definedName name="Tsep_C_" localSheetId="1">PVT!$O$10</definedName>
    <definedName name="Twf_out_C_">Скважина_расчет!$T$13</definedName>
    <definedName name="Twh_C_">Скважина_расчет!$M$8</definedName>
    <definedName name="U_V_">Скважина_расчет!$W$10</definedName>
    <definedName name="udl_out_m_">'Конструкция фонтан'!$R$18:$R$38</definedName>
    <definedName name="viscosity">УЭЦН!$C$20</definedName>
    <definedName name="wc_perc_" localSheetId="1">PVT!$K$9</definedName>
    <definedName name="wc_perc_" localSheetId="4">Скважина_расчет!$C$8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5" i="4" l="1"/>
  <c r="N57" i="2" l="1"/>
  <c r="N58" i="2"/>
  <c r="N52" i="2"/>
  <c r="O47" i="2"/>
  <c r="P47" i="2"/>
  <c r="N47" i="2"/>
  <c r="N49" i="2"/>
  <c r="N48" i="2"/>
  <c r="O46" i="2"/>
  <c r="O53" i="2" s="1"/>
  <c r="N46" i="2"/>
  <c r="N53" i="2" s="1"/>
  <c r="O44" i="2"/>
  <c r="O51" i="2" s="1"/>
  <c r="O43" i="2"/>
  <c r="O50" i="2" s="1"/>
  <c r="O42" i="2"/>
  <c r="O49" i="2" s="1"/>
  <c r="O41" i="2"/>
  <c r="O48" i="2" s="1"/>
  <c r="N45" i="2"/>
  <c r="M45" i="2"/>
  <c r="N44" i="2"/>
  <c r="N51" i="2" s="1"/>
  <c r="M44" i="2"/>
  <c r="M42" i="2"/>
  <c r="N42" i="2"/>
  <c r="M43" i="2"/>
  <c r="N43" i="2"/>
  <c r="N50" i="2" s="1"/>
  <c r="N41" i="2"/>
  <c r="M41" i="2"/>
  <c r="BB39" i="2"/>
  <c r="S1539" i="2"/>
  <c r="W14" i="2" l="1"/>
  <c r="O45" i="2" s="1"/>
  <c r="O52" i="2" s="1"/>
  <c r="AV36" i="2" l="1"/>
  <c r="T10" i="2"/>
  <c r="N56" i="2" s="1"/>
  <c r="Y42" i="2" l="1"/>
  <c r="AC11" i="2" l="1"/>
  <c r="P46" i="2" s="1"/>
  <c r="P53" i="2" s="1"/>
  <c r="AC10" i="2" l="1"/>
  <c r="P45" i="2" s="1"/>
  <c r="P52" i="2" s="1"/>
  <c r="AC9" i="2"/>
  <c r="P44" i="2" s="1"/>
  <c r="P51" i="2" s="1"/>
  <c r="AC8" i="2"/>
  <c r="AC7" i="2"/>
  <c r="P41" i="2" s="1"/>
  <c r="P48" i="2" s="1"/>
  <c r="AC6" i="2"/>
  <c r="P43" i="2" s="1"/>
  <c r="P50" i="2" s="1"/>
  <c r="AC5" i="2"/>
  <c r="P42" i="2" s="1"/>
  <c r="P49" i="2" s="1"/>
  <c r="Q10" i="2"/>
  <c r="N55" i="2" s="1"/>
  <c r="C33" i="4"/>
  <c r="Q48" i="2" l="1"/>
  <c r="AC12" i="2"/>
  <c r="BB14" i="2"/>
  <c r="BB20" i="2"/>
  <c r="O11" i="2"/>
  <c r="O12" i="2"/>
  <c r="D149" i="3"/>
  <c r="G23" i="4"/>
  <c r="AE102" i="2" l="1"/>
  <c r="AD102" i="2"/>
  <c r="S46" i="2" l="1" a="1"/>
  <c r="S46" i="2" s="1"/>
  <c r="W6" i="2" l="1"/>
  <c r="E3" i="2" l="1"/>
  <c r="W64" i="2"/>
  <c r="V63" i="2"/>
  <c r="W63" i="2" s="1"/>
  <c r="AC6" i="7" l="1"/>
  <c r="AB6" i="7"/>
  <c r="V6" i="7" l="1"/>
  <c r="Y6" i="7" s="1"/>
  <c r="W6" i="7"/>
  <c r="Z6" i="7" s="1"/>
  <c r="R6" i="7" l="1"/>
  <c r="U6" i="7" s="1"/>
  <c r="X6" i="7" s="1"/>
  <c r="C16" i="7" l="1"/>
  <c r="I32" i="4"/>
  <c r="M35" i="4"/>
  <c r="C49" i="4"/>
  <c r="C34" i="4"/>
  <c r="C43" i="4"/>
  <c r="B3" i="8"/>
  <c r="E32" i="4"/>
  <c r="B5" i="8"/>
  <c r="T33" i="4"/>
  <c r="C40" i="4"/>
  <c r="E35" i="4"/>
  <c r="C35" i="4"/>
  <c r="M32" i="4"/>
  <c r="C36" i="4"/>
  <c r="V33" i="4"/>
  <c r="E37" i="4"/>
  <c r="C44" i="4"/>
  <c r="I35" i="4"/>
  <c r="I36" i="4"/>
  <c r="I37" i="4"/>
  <c r="E33" i="4"/>
  <c r="M34" i="4"/>
  <c r="B4" i="8"/>
  <c r="C32" i="4"/>
  <c r="M33" i="4"/>
  <c r="M37" i="4"/>
  <c r="I33" i="4"/>
  <c r="M36" i="4"/>
  <c r="C7" i="7"/>
  <c r="I34" i="4"/>
  <c r="M40" i="4"/>
  <c r="E36" i="4"/>
  <c r="C37" i="4"/>
  <c r="E34" i="4"/>
  <c r="C23" i="4"/>
  <c r="C50" i="4" l="1"/>
  <c r="C18" i="7" s="1"/>
  <c r="U19" i="2"/>
  <c r="V19" i="2"/>
  <c r="V18" i="2"/>
  <c r="V17" i="2"/>
  <c r="A4" i="6"/>
  <c r="A1" i="6"/>
  <c r="AA36" i="4"/>
  <c r="AA35" i="4"/>
  <c r="AB36" i="4"/>
  <c r="AB35" i="4"/>
  <c r="W38" i="4"/>
  <c r="W37" i="4"/>
  <c r="C9" i="7"/>
  <c r="T36" i="4"/>
  <c r="T35" i="4"/>
  <c r="C10" i="7"/>
  <c r="V36" i="4"/>
  <c r="C26" i="4"/>
  <c r="T34" i="4"/>
  <c r="B8" i="8" a="1"/>
  <c r="C8" i="7"/>
  <c r="C28" i="4"/>
  <c r="C27" i="4"/>
  <c r="V34" i="4"/>
  <c r="V35" i="4"/>
  <c r="A2" i="2" l="1"/>
  <c r="A1" i="7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8" i="8"/>
  <c r="G10" i="8"/>
  <c r="B10" i="8"/>
  <c r="I10" i="8"/>
  <c r="G9" i="8"/>
  <c r="B9" i="8"/>
  <c r="H10" i="8"/>
  <c r="E10" i="8"/>
  <c r="C9" i="8"/>
  <c r="H9" i="8"/>
  <c r="E9" i="8"/>
  <c r="C8" i="8"/>
  <c r="F9" i="8"/>
  <c r="D9" i="8"/>
  <c r="E8" i="8"/>
  <c r="F8" i="8"/>
  <c r="D8" i="8"/>
  <c r="C10" i="8"/>
  <c r="I9" i="8"/>
  <c r="G8" i="8"/>
  <c r="B8" i="8"/>
  <c r="I8" i="8"/>
  <c r="F10" i="8"/>
  <c r="D10" i="8"/>
  <c r="I6" i="7"/>
  <c r="AA6" i="7" s="1"/>
  <c r="A1" i="4"/>
  <c r="A1" i="3"/>
  <c r="C11" i="2"/>
  <c r="L31" i="7"/>
  <c r="J3" i="2" l="1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AB32" i="4" l="1"/>
  <c r="W34" i="4"/>
  <c r="AB33" i="4" s="1"/>
  <c r="W35" i="4"/>
  <c r="AB38" i="4" s="1"/>
  <c r="W36" i="4"/>
  <c r="AB34" i="4" s="1"/>
  <c r="U36" i="4"/>
  <c r="AA34" i="4" s="1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  <author>Олег Кобзарь</author>
  </authors>
  <commentList>
    <comment ref="B6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Y6" authorId="1" shapeId="0" xr:uid="{0AB313FC-BEFE-4B46-924B-67EEEC61E67C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Передача - мощность, передаваемая на данный элемент
Потребление - мощность, расходуемая на этом элементе</t>
        </r>
      </text>
    </comment>
    <comment ref="C7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7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7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7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8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8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L8" authorId="1" shapeId="0" xr:uid="{74E69A83-8AA2-48CE-9415-4793A4981B21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M8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10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1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<sst xmlns="http://schemas.openxmlformats.org/spreadsheetml/2006/main" count="684" uniqueCount="408">
  <si>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</si>
  <si>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</si>
  <si>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</si>
  <si>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</si>
  <si>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</si>
  <si>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</si>
  <si>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</si>
  <si>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</si>
  <si>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</si>
  <si>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</si>
  <si>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</si>
  <si>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</si>
  <si>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</si>
  <si>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</si>
  <si>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</si>
  <si>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</si>
  <si>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</si>
  <si>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</si>
  <si>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</si>
  <si>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</si>
  <si>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</si>
  <si>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</si>
  <si>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</si>
  <si>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</si>
  <si>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</si>
  <si>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</si>
  <si>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</si>
  <si>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</si>
  <si>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</si>
  <si>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</si>
  <si>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</si>
  <si>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</si>
  <si>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</si>
  <si>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</si>
  <si>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</si>
  <si>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</si>
  <si>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</si>
  <si>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</si>
  <si>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</si>
  <si>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</si>
  <si>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</si>
  <si>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</si>
  <si>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</si>
  <si>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</si>
  <si>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</si>
  <si>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</si>
  <si>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</si>
  <si>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</si>
  <si>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</si>
  <si>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</si>
  <si>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</si>
  <si>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t>Замеры давления и температуры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</si>
  <si>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</si>
  <si>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</si>
  <si>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</si>
  <si>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</si>
  <si>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</si>
  <si>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</si>
  <si>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</si>
  <si>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</si>
  <si>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</si>
  <si>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</si>
  <si>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</si>
  <si>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</si>
  <si>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</si>
  <si>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</si>
  <si>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</si>
  <si>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</si>
  <si>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</si>
  <si>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</si>
  <si>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</si>
  <si>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</si>
  <si>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</si>
  <si>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</si>
  <si>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</si>
  <si>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</si>
  <si>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</si>
  <si>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</si>
  <si>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</si>
  <si>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</si>
  <si>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</si>
  <si>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</si>
  <si>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</si>
  <si>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</si>
  <si>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</si>
  <si>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</si>
  <si>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</si>
  <si>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</si>
  <si>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</si>
  <si>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</si>
  <si>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</si>
  <si>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</si>
  <si>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</si>
  <si>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</si>
  <si>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</si>
  <si>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</si>
  <si>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</si>
  <si>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</si>
  <si>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</si>
  <si>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</si>
  <si>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</si>
  <si>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</si>
  <si>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</si>
  <si>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</si>
  <si>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</si>
  <si>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</si>
  <si>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</si>
  <si>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</si>
  <si>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</si>
  <si>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</si>
  <si>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</si>
  <si>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</si>
  <si>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</si>
  <si>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</si>
  <si>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</si>
  <si>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</si>
  <si>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</si>
  <si>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</si>
  <si>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</si>
  <si>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</si>
  <si>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</si>
  <si>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</si>
  <si>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</si>
  <si>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</si>
  <si>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</si>
  <si>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</si>
  <si>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</si>
  <si>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</si>
  <si>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</si>
  <si>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</si>
  <si>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</si>
  <si>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</si>
  <si>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</si>
  <si>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</si>
  <si>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</si>
  <si>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</si>
  <si>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</si>
  <si>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</si>
  <si>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</si>
  <si>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</si>
  <si>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</si>
  <si>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</si>
  <si>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</si>
  <si>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</si>
  <si>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</si>
  <si>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</si>
  <si>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</si>
  <si>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</si>
  <si>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</si>
  <si>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</si>
  <si>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</si>
  <si>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</si>
  <si>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</si>
  <si>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</si>
  <si>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</si>
  <si>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</si>
  <si>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</si>
  <si>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</si>
  <si>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</si>
  <si>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</si>
  <si>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</si>
  <si>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</si>
  <si>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</si>
  <si>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</si>
  <si>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</si>
  <si>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</si>
  <si>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</si>
  <si>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</si>
  <si>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</si>
  <si>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</si>
  <si>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</si>
  <si>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</si>
  <si>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</si>
  <si>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</si>
  <si>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</si>
  <si>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</si>
  <si>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</si>
  <si>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</si>
  <si>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</si>
  <si>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</si>
  <si>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</si>
  <si>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</si>
  <si>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</si>
  <si>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</si>
  <si>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</si>
  <si>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</si>
  <si>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</si>
  <si>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</si>
  <si>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</si>
  <si>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t>hmes pcas</t>
  </si>
  <si>
    <t>Подписать колонки</t>
  </si>
  <si>
    <t>Пояснение</t>
  </si>
  <si>
    <t>hmes ptub</t>
  </si>
  <si>
    <t>Ptub</t>
  </si>
  <si>
    <t>Ttub</t>
  </si>
  <si>
    <t>Hl</t>
  </si>
  <si>
    <t>Tamb</t>
  </si>
  <si>
    <t>Откуда измерения берутся?</t>
  </si>
  <si>
    <t>Потом добавить частотоу</t>
  </si>
  <si>
    <t>Просто посчитать</t>
  </si>
  <si>
    <t>Говорить что добавить</t>
  </si>
  <si>
    <t>0</t>
  </si>
  <si>
    <t>700</t>
  </si>
  <si>
    <t>839</t>
  </si>
  <si>
    <t>Затрубное?</t>
  </si>
  <si>
    <t>Забойное</t>
  </si>
  <si>
    <t>Устьевое</t>
  </si>
  <si>
    <t>Pпр</t>
  </si>
  <si>
    <t>Наносятся на графики замеры?</t>
  </si>
  <si>
    <t>Точки на приеме</t>
  </si>
  <si>
    <t>Нагрев в насосе</t>
  </si>
  <si>
    <t>Точки температур</t>
  </si>
  <si>
    <t>Интрерполирует результаты исследований</t>
  </si>
  <si>
    <t>п приема</t>
  </si>
  <si>
    <t>вывести</t>
  </si>
  <si>
    <t>да</t>
  </si>
  <si>
    <t>Температура в насосе</t>
  </si>
  <si>
    <t>Температура нейтрального стлоя по геотерме</t>
  </si>
  <si>
    <t>посмотреть</t>
  </si>
  <si>
    <t>Кинематическая вязкость</t>
  </si>
  <si>
    <t>сСт</t>
  </si>
  <si>
    <t>Множитель для вязкости</t>
  </si>
  <si>
    <t>единиц</t>
  </si>
  <si>
    <t>dP</t>
  </si>
  <si>
    <r>
      <rPr>
        <sz val="12"/>
        <color theme="1"/>
        <rFont val="Calibri"/>
        <family val="2"/>
        <charset val="204"/>
        <scheme val="minor"/>
      </rPr>
      <t>ν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</si>
  <si>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Множитель для ГФ</t>
  </si>
  <si>
    <t>ГФ, м3/м3</t>
  </si>
  <si>
    <t>Кинематическая вязкость, cSt</t>
  </si>
  <si>
    <t>при каких условиях</t>
  </si>
  <si>
    <t>Расчет через GET</t>
  </si>
  <si>
    <t>Расчет через dP</t>
  </si>
  <si>
    <t>Расчет через ESP_dp</t>
  </si>
  <si>
    <t>Учет эмульсии</t>
  </si>
  <si>
    <t>КПД насоса</t>
  </si>
  <si>
    <t>КПД УЭЦН</t>
  </si>
  <si>
    <t>д.ед.</t>
  </si>
  <si>
    <t>Флюиду (передача)</t>
  </si>
  <si>
    <t>Валу (передача)</t>
  </si>
  <si>
    <t>Кабелю (передача)</t>
  </si>
  <si>
    <t>СУ (передача)</t>
  </si>
  <si>
    <t>A</t>
  </si>
  <si>
    <t>Ток двигателя</t>
  </si>
  <si>
    <t>N ПЭД, ном</t>
  </si>
  <si>
    <t>I ПЭД</t>
  </si>
  <si>
    <t>А</t>
  </si>
  <si>
    <t>Cos ф (ТМ)</t>
  </si>
  <si>
    <t>безразм</t>
  </si>
  <si>
    <t>Загрузка ПЭД</t>
  </si>
  <si>
    <t>Вольт</t>
  </si>
  <si>
    <t>I ПЭД, ном</t>
  </si>
  <si>
    <t>Номинальная мощность ПЭД</t>
  </si>
  <si>
    <t>Энергетические параметры</t>
  </si>
  <si>
    <t>Гидравлические параметры</t>
  </si>
  <si>
    <t>Насосу (передача)</t>
  </si>
  <si>
    <t>U лин ПЭД</t>
  </si>
  <si>
    <t>КПД ПЭД</t>
  </si>
  <si>
    <t>д. ед.</t>
  </si>
  <si>
    <t>muMix</t>
  </si>
  <si>
    <t>GasFraction</t>
  </si>
  <si>
    <t>PowerFluid</t>
  </si>
  <si>
    <t>Pressure</t>
  </si>
  <si>
    <t>Qmix</t>
  </si>
  <si>
    <t>Temp</t>
  </si>
  <si>
    <t>Без образования эмульсии</t>
  </si>
  <si>
    <t>КПД с эмульсией</t>
  </si>
  <si>
    <t>PowerESP  с эмульсией</t>
  </si>
  <si>
    <t>MuMix  с эмульсией</t>
  </si>
  <si>
    <t>КПД  без  эмульсии</t>
  </si>
  <si>
    <t>PowerESP без  эмульсии</t>
  </si>
  <si>
    <t>MuMix без  эмульсии</t>
  </si>
  <si>
    <t>04.05.2019 : 19:22:10 : debug :  : распределения давления в НКТ</t>
  </si>
  <si>
    <t>04.05.2019 : 19:22:10 : debug :  : False</t>
  </si>
  <si>
    <t>04.05.2019 : 19:22:10 : debug :  : False :  462.698267203284</t>
  </si>
  <si>
    <t>04.05.2019 : 19:22:10 : debug :  : False :  462.446278402818</t>
  </si>
  <si>
    <t>04.05.2019 : 19:22:10 : debug :  : False :  462.319726289669</t>
  </si>
  <si>
    <t>04.05.2019 : 19:22:10 : debug :  : False :  461.938412467704</t>
  </si>
  <si>
    <t>04.05.2019 : 19:22:10 : debug :  : False :  461.425677647182</t>
  </si>
  <si>
    <t>04.05.2019 : 19:22:10 : debug :  : False :  461.58643739866</t>
  </si>
  <si>
    <t>04.05.2019 : 19:22:10 : debug :  : False :  461.425679176171</t>
  </si>
  <si>
    <t>04.05.2019 : 19:22:10 : debug :  : False :  460.908271268761</t>
  </si>
  <si>
    <t>04.05.2019 : 19:22:10 : debug :  : False :  460.647340033346</t>
  </si>
  <si>
    <t>04.05.2019 : 19:22:10 : debug :  : False :  459.85792738</t>
  </si>
  <si>
    <t>04.05.2019 : 19:22:10 : debug :  : False :  458.788133123634</t>
  </si>
  <si>
    <t>04.05.2019 : 19:22:10 : debug :  : False :  459.124562084933</t>
  </si>
  <si>
    <t>04.05.2019 : 19:22:10 : debug :  : False :  458.7881452323</t>
  </si>
  <si>
    <t>04.05.2019 : 19:22:10 : debug :  : False :  457.148878676735</t>
  </si>
  <si>
    <t>04.05.2019 : 19:22:10 : debug :  : False :  456.201231127287</t>
  </si>
  <si>
    <t>04.05.2019 : 19:22:10 : debug :  : False :  453.29168353395</t>
  </si>
  <si>
    <t>04.05.2019 : 19:22:10 : debug :  : False :  447.987182176243</t>
  </si>
  <si>
    <t>04.05.2019 : 19:22:10 : debug :  : False :  450.011736402208</t>
  </si>
  <si>
    <t>04.05.2019 : 19:22:10 : debug :  : False :  448.55035983846</t>
  </si>
  <si>
    <t>04.05.2019 : 19:22:10 : debug :  : False :  446.882227194504</t>
  </si>
  <si>
    <t>04.05.2019 : 19:22:10 : debug :  : False :  445.992255133518</t>
  </si>
  <si>
    <t>04.05.2019 : 19:22:10 : debug :  : False :  443.283201692049</t>
  </si>
  <si>
    <t>04.05.2019 : 19:22:10 : debug :  : False :  439.433623712794</t>
  </si>
  <si>
    <t>04.05.2019 : 19:22:10 : debug :  : False :  440.665981683905</t>
  </si>
  <si>
    <t>04.05.2019 : 19:22:10 : debug :  : False :  439.433723897933</t>
  </si>
  <si>
    <t>04.05.2019 : 19:22:10 : debug :  : False :  434.358192088528</t>
  </si>
  <si>
    <t>04.05.2019 : 19:22:10 : debug :  : False :  431.539294512228</t>
  </si>
  <si>
    <t>04.05.2019 : 19:22:10 : debug :  : False :  422.800286056218</t>
  </si>
  <si>
    <t>04.05.2019 : 19:22:10 : debug :  : False :  409.849806787094</t>
  </si>
  <si>
    <t>04.05.2019 : 19:22:10 : debug :  : False :  414.054534283667</t>
  </si>
  <si>
    <t>04.05.2019 : 19:22:10 : debug :  : False :  409.851193365746</t>
  </si>
  <si>
    <t>04.05.2019 : 19:22:10 : debug :  : False :  402.911402925249</t>
  </si>
  <si>
    <t>04.05.2019 : 19:22:10 : debug :  : False :  399.23477355727</t>
  </si>
  <si>
    <t>04.05.2019 : 19:22:10 : debug :  : False :  387.925527289581</t>
  </si>
  <si>
    <t>04.05.2019 : 19:22:10 : debug :  : False :  371.865807002232</t>
  </si>
  <si>
    <t>04.05.2019 : 19:22:10 : debug :  : False :  376.997066413637</t>
  </si>
  <si>
    <t>04.05.2019 : 19:22:10 : debug :  : False :  371.866413930008</t>
  </si>
  <si>
    <t>04.05.2019 : 19:22:10 : debug :  : False :  363.499296436871</t>
  </si>
  <si>
    <t>04.05.2019 : 19:22:10 : debug :  : False :  359.169836982742</t>
  </si>
  <si>
    <t>04.05.2019 : 19:22:10 : debug :  : False :  346.005954695592</t>
  </si>
  <si>
    <t>04.05.2019 : 19:22:10 : debug :  : False :  327.921427980546</t>
  </si>
  <si>
    <t>04.05.2019 : 19:22:10 : debug :  : False :  333.623800100723</t>
  </si>
  <si>
    <t>04.05.2019 : 19:22:10 : debug :  : False :  327.921744017461</t>
  </si>
  <si>
    <t>04.05.2019 : 19:22:10 : debug :  : False :  318.731806428264</t>
  </si>
  <si>
    <t>04.05.2019 : 19:22:10 : debug :  : False :  314.119779993414</t>
  </si>
  <si>
    <t>04.05.2019 : 19:22:10 : debug :  : False :  300.218406166797</t>
  </si>
  <si>
    <t>04.05.2019 : 19:22:10 : debug :  : False :  281.652511647508</t>
  </si>
  <si>
    <t>04.05.2019 : 19:22:10 : debug :  : False :  287.449354926986</t>
  </si>
  <si>
    <t>04.05.2019 : 19:22:10 : debug :  : False :  281.652282627662</t>
  </si>
  <si>
    <t>04.05.2019 : 19:22:10 : debug :  : False :  272.39952158459</t>
  </si>
  <si>
    <t>04.05.2019 : 19:22:10 : debug :  : False :  267.79617680728</t>
  </si>
  <si>
    <t>04.05.2019 : 19:22:10 : debug :  : False :  254.075254159496</t>
  </si>
  <si>
    <t>04.05.2019 : 19:22:10 : debug :  : False :  236.105870938074</t>
  </si>
  <si>
    <t>04.05.2019 : 19:22:10 : debug :  : False :  241.673478713653</t>
  </si>
  <si>
    <t>04.05.2019 : 19:22:10 : debug :  : False :  236.105678752439</t>
  </si>
  <si>
    <t>04.05.2019 : 19:22:10 : debug :  : False :  227.299204976658</t>
  </si>
  <si>
    <t>04.05.2019 : 19:22:10 : debug :  : False :  222.953918614244</t>
  </si>
  <si>
    <t>04.05.2019 : 19:22:10 : debug :  : False :  210.146957412683</t>
  </si>
  <si>
    <t>04.05.2019 : 19:22:10 : debug :  : False :  193.702088752997</t>
  </si>
  <si>
    <t>04.05.2019 : 19:22:10 : debug :  : False :  198.757308576176</t>
  </si>
  <si>
    <t>04.05.2019 : 19:22:10 : debug :  : False :  193.701943026187</t>
  </si>
  <si>
    <t>04.05.2019 : 19:22:10 : debug :  : False :  185.780865894745</t>
  </si>
  <si>
    <t>04.05.2019 : 19:22:10 : debug :  : False :  181.905891279571</t>
  </si>
  <si>
    <t>04.05.2019 : 19:22:10 : debug :  : False :  170.620587570019</t>
  </si>
  <si>
    <t>04.05.2019 : 19:22:10 : debug :  : False :  156.436797937616</t>
  </si>
  <si>
    <t>04.05.2019 : 19:22:10 : debug :  : False :  160.758752725414</t>
  </si>
  <si>
    <t>04.05.2019 : 19:22:10 : debug :  : False :  156.436693531949</t>
  </si>
  <si>
    <t>04.05.2019 : 19:22:10 : debug :  : линейного давления по штуцеру</t>
  </si>
  <si>
    <t>04.05.2019 : 19:22:10 : debug :  :  156.436693531949</t>
  </si>
  <si>
    <t>04.05.2019 : 19:22:10 : debug :  : все подсчитали  :  .71875</t>
  </si>
  <si>
    <t>04.05.2019 : 19:22:12 : debug :  : все записали  :  2.09375</t>
  </si>
  <si>
    <t>Протектору (потреб.)</t>
  </si>
  <si>
    <t>Сепаратору (потреб.)</t>
  </si>
  <si>
    <t>Кабелю (потреб.)</t>
  </si>
  <si>
    <t>Трансформатор (потреб.)</t>
  </si>
  <si>
    <t>СУ (потреб.)</t>
  </si>
  <si>
    <t>Используемый фактический параметр</t>
  </si>
  <si>
    <t>Рассчитанный параметр</t>
  </si>
  <si>
    <t>Потреб. - потребление мощности элементом системы УЭЦН</t>
  </si>
  <si>
    <t>Передача - передача мощности элементу системы УЭЦН</t>
  </si>
  <si>
    <t>Вариант №1 с исходными данными</t>
  </si>
  <si>
    <t>Вариант №3 с эмульсией и коэффициентом деградации</t>
  </si>
  <si>
    <t>Вариант №2 с эмульсией, но без коэффициента деградации</t>
  </si>
  <si>
    <t>неактивно</t>
  </si>
  <si>
    <t>Относительные ошибки расчета</t>
  </si>
  <si>
    <t>Загрузка ПЭД (F)</t>
  </si>
  <si>
    <t>°С</t>
  </si>
  <si>
    <t>(F) - учетом частоты для производимой N ПЭД</t>
  </si>
  <si>
    <t>(искл.F) - неучет частоты для производимой N ПЭД</t>
  </si>
  <si>
    <t>с коррекцией вязкости</t>
  </si>
  <si>
    <t>Case №2</t>
  </si>
  <si>
    <t>Case №1</t>
  </si>
  <si>
    <t>Дата</t>
  </si>
  <si>
    <t>ПЭД (передача)</t>
  </si>
  <si>
    <t>P пр.</t>
  </si>
  <si>
    <t>Р лин.</t>
  </si>
  <si>
    <t>P буф.</t>
  </si>
  <si>
    <t>P заб.</t>
  </si>
  <si>
    <t>P затруб.</t>
  </si>
  <si>
    <t>dP ЭЦН</t>
  </si>
  <si>
    <t>P вык.</t>
  </si>
  <si>
    <t>T лин.</t>
  </si>
  <si>
    <t>T буф.</t>
  </si>
  <si>
    <t>T заб.</t>
  </si>
  <si>
    <t>T вык.</t>
  </si>
  <si>
    <t>T пр.</t>
  </si>
  <si>
    <t>dT ЭЦН</t>
  </si>
  <si>
    <t>Кdegr_P</t>
  </si>
  <si>
    <t>Kdegr_Q</t>
  </si>
  <si>
    <t>Kdegr_N</t>
  </si>
  <si>
    <t>Вариант №3</t>
  </si>
  <si>
    <t>Вариант №2</t>
  </si>
  <si>
    <t>Вариант №1</t>
  </si>
  <si>
    <t>Параметр</t>
  </si>
  <si>
    <t>Ошибка</t>
  </si>
  <si>
    <t>Неиспользуемый фактический параметр</t>
  </si>
  <si>
    <t>КПД ЭЦН</t>
  </si>
  <si>
    <t>N СУ</t>
  </si>
  <si>
    <t xml:space="preserve">Загрузка ПЭД </t>
  </si>
  <si>
    <t>Средняя ошибка</t>
  </si>
  <si>
    <t>Факт</t>
  </si>
  <si>
    <t>Расчет</t>
  </si>
  <si>
    <t>Отн. Ошибка</t>
  </si>
  <si>
    <t>I ПЭД, А</t>
  </si>
  <si>
    <t>N СУ, кВт</t>
  </si>
  <si>
    <t>Загрузка ПЭД, %</t>
  </si>
  <si>
    <t>месседж</t>
  </si>
  <si>
    <t>dT ЭЦН, °С</t>
  </si>
  <si>
    <t>КПД насоса, д.ед.</t>
  </si>
  <si>
    <t>КПД УЭЦН, д.ед.</t>
  </si>
  <si>
    <t>P пр., МПа</t>
  </si>
  <si>
    <t>Р лин., МПа</t>
  </si>
  <si>
    <t>P буф., МПа</t>
  </si>
  <si>
    <t>dP ЭЦН, МПа</t>
  </si>
  <si>
    <t>Значение</t>
  </si>
  <si>
    <t>Вязкость на входе в насос для поправки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</si>
</sst>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"/>
    <numFmt numFmtId="166" formatCode="0.0%"/>
  </numFmts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color theme="1"/>
      <name val="Times New Roman"/>
      <family val="1"/>
      <charset val="204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93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10" borderId="0" xfId="0" applyFill="1"/>
    <xf numFmtId="2" fontId="0" fillId="2" borderId="0" xfId="0" applyNumberFormat="1" applyFill="1" applyAlignment="1">
      <alignment horizontal="center" vertical="center"/>
    </xf>
    <xf numFmtId="0" fontId="0" fillId="11" borderId="0" xfId="0" applyFill="1"/>
    <xf numFmtId="0" fontId="0" fillId="12" borderId="0" xfId="0" applyFill="1"/>
    <xf numFmtId="0" fontId="0" fillId="0" borderId="2" xfId="0" applyBorder="1" applyAlignment="1">
      <alignment horizontal="left"/>
    </xf>
    <xf numFmtId="0" fontId="0" fillId="6" borderId="0" xfId="0" applyFill="1"/>
    <xf numFmtId="0" fontId="0" fillId="0" borderId="4" xfId="0" applyBorder="1"/>
    <xf numFmtId="0" fontId="0" fillId="0" borderId="5" xfId="0" applyBorder="1"/>
    <xf numFmtId="0" fontId="0" fillId="0" borderId="2" xfId="0" applyBorder="1" applyAlignment="1">
      <alignment horizontal="center"/>
    </xf>
    <xf numFmtId="0" fontId="15" fillId="2" borderId="2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/>
    </xf>
    <xf numFmtId="0" fontId="15" fillId="3" borderId="9" xfId="0" applyFont="1" applyFill="1" applyBorder="1" applyAlignment="1">
      <alignment horizontal="center"/>
    </xf>
    <xf numFmtId="0" fontId="15" fillId="3" borderId="11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15" fillId="3" borderId="17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3" borderId="19" xfId="0" applyFont="1" applyFill="1" applyBorder="1" applyAlignment="1">
      <alignment horizontal="center" vertical="center"/>
    </xf>
    <xf numFmtId="0" fontId="15" fillId="3" borderId="10" xfId="0" applyFont="1" applyFill="1" applyBorder="1" applyAlignment="1">
      <alignment horizontal="center" vertical="center"/>
    </xf>
    <xf numFmtId="0" fontId="15" fillId="3" borderId="0" xfId="0" applyFont="1" applyFill="1" applyBorder="1"/>
    <xf numFmtId="0" fontId="15" fillId="3" borderId="7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6" fillId="3" borderId="10" xfId="0" applyFont="1" applyFill="1" applyBorder="1" applyAlignment="1">
      <alignment horizontal="center" vertical="center"/>
    </xf>
    <xf numFmtId="0" fontId="16" fillId="13" borderId="2" xfId="0" applyFont="1" applyFill="1" applyBorder="1" applyAlignment="1">
      <alignment horizontal="center" vertical="center"/>
    </xf>
    <xf numFmtId="164" fontId="15" fillId="14" borderId="2" xfId="0" applyNumberFormat="1" applyFont="1" applyFill="1" applyBorder="1" applyAlignment="1">
      <alignment horizontal="center" vertical="center"/>
    </xf>
    <xf numFmtId="0" fontId="15" fillId="3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13" borderId="2" xfId="0" applyFont="1" applyFill="1" applyBorder="1" applyAlignment="1">
      <alignment horizontal="center" vertical="center"/>
    </xf>
    <xf numFmtId="164" fontId="15" fillId="3" borderId="0" xfId="0" applyNumberFormat="1" applyFont="1" applyFill="1" applyBorder="1" applyAlignment="1">
      <alignment horizontal="center" vertical="center" wrapText="1"/>
    </xf>
    <xf numFmtId="2" fontId="15" fillId="4" borderId="2" xfId="0" applyNumberFormat="1" applyFont="1" applyFill="1" applyBorder="1" applyAlignment="1">
      <alignment horizontal="center" vertical="center"/>
    </xf>
    <xf numFmtId="164" fontId="15" fillId="14" borderId="13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left"/>
    </xf>
    <xf numFmtId="0" fontId="15" fillId="3" borderId="11" xfId="0" applyFont="1" applyFill="1" applyBorder="1"/>
    <xf numFmtId="0" fontId="15" fillId="2" borderId="18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0" fillId="3" borderId="0" xfId="0" applyFill="1" applyBorder="1"/>
    <xf numFmtId="2" fontId="15" fillId="14" borderId="13" xfId="0" applyNumberFormat="1" applyFont="1" applyFill="1" applyBorder="1" applyAlignment="1">
      <alignment horizontal="center" vertical="center"/>
    </xf>
    <xf numFmtId="0" fontId="15" fillId="13" borderId="23" xfId="0" applyFont="1" applyFill="1" applyBorder="1"/>
    <xf numFmtId="0" fontId="0" fillId="3" borderId="11" xfId="0" applyFill="1" applyBorder="1"/>
    <xf numFmtId="0" fontId="15" fillId="3" borderId="27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 vertical="center"/>
    </xf>
    <xf numFmtId="166" fontId="16" fillId="4" borderId="15" xfId="0" applyNumberFormat="1" applyFont="1" applyFill="1" applyBorder="1" applyAlignment="1">
      <alignment horizontal="center"/>
    </xf>
    <xf numFmtId="166" fontId="16" fillId="4" borderId="16" xfId="0" applyNumberFormat="1" applyFont="1" applyFill="1" applyBorder="1" applyAlignment="1">
      <alignment horizontal="center"/>
    </xf>
    <xf numFmtId="10" fontId="16" fillId="4" borderId="16" xfId="0" applyNumberFormat="1" applyFont="1" applyFill="1" applyBorder="1" applyAlignment="1">
      <alignment horizontal="center"/>
    </xf>
    <xf numFmtId="10" fontId="16" fillId="4" borderId="29" xfId="0" applyNumberFormat="1" applyFont="1" applyFill="1" applyBorder="1" applyAlignment="1">
      <alignment horizontal="center"/>
    </xf>
    <xf numFmtId="14" fontId="0" fillId="2" borderId="0" xfId="0" applyNumberFormat="1" applyFill="1"/>
    <xf numFmtId="164" fontId="15" fillId="4" borderId="0" xfId="0" applyNumberFormat="1" applyFont="1" applyFill="1" applyBorder="1" applyAlignment="1">
      <alignment horizontal="center" vertical="center" wrapText="1"/>
    </xf>
    <xf numFmtId="0" fontId="15" fillId="3" borderId="9" xfId="0" applyFont="1" applyFill="1" applyBorder="1" applyAlignment="1">
      <alignment horizontal="center" vertical="center"/>
    </xf>
    <xf numFmtId="164" fontId="15" fillId="4" borderId="0" xfId="0" applyNumberFormat="1" applyFont="1" applyFill="1" applyBorder="1" applyAlignment="1">
      <alignment horizontal="center" vertical="center"/>
    </xf>
    <xf numFmtId="164" fontId="15" fillId="4" borderId="17" xfId="0" applyNumberFormat="1" applyFont="1" applyFill="1" applyBorder="1" applyAlignment="1">
      <alignment horizontal="center" vertical="center" wrapText="1"/>
    </xf>
    <xf numFmtId="164" fontId="15" fillId="4" borderId="19" xfId="0" applyNumberFormat="1" applyFont="1" applyFill="1" applyBorder="1" applyAlignment="1">
      <alignment horizontal="center" vertical="center"/>
    </xf>
    <xf numFmtId="0" fontId="15" fillId="13" borderId="8" xfId="0" applyFont="1" applyFill="1" applyBorder="1" applyAlignment="1">
      <alignment horizontal="center"/>
    </xf>
    <xf numFmtId="0" fontId="15" fillId="13" borderId="30" xfId="0" applyFont="1" applyFill="1" applyBorder="1" applyAlignment="1">
      <alignment horizontal="center" vertical="center"/>
    </xf>
    <xf numFmtId="0" fontId="15" fillId="2" borderId="31" xfId="0" applyFont="1" applyFill="1" applyBorder="1" applyAlignment="1">
      <alignment horizontal="center" vertical="center"/>
    </xf>
    <xf numFmtId="164" fontId="15" fillId="4" borderId="31" xfId="0" applyNumberFormat="1" applyFont="1" applyFill="1" applyBorder="1" applyAlignment="1">
      <alignment horizontal="center" vertical="center" wrapText="1"/>
    </xf>
    <xf numFmtId="164" fontId="15" fillId="4" borderId="31" xfId="0" applyNumberFormat="1" applyFont="1" applyFill="1" applyBorder="1" applyAlignment="1">
      <alignment horizontal="center" vertical="center"/>
    </xf>
    <xf numFmtId="164" fontId="15" fillId="4" borderId="32" xfId="0" applyNumberFormat="1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left"/>
    </xf>
    <xf numFmtId="0" fontId="15" fillId="3" borderId="9" xfId="0" applyFont="1" applyFill="1" applyBorder="1"/>
    <xf numFmtId="0" fontId="0" fillId="3" borderId="17" xfId="0" applyFill="1" applyBorder="1"/>
    <xf numFmtId="0" fontId="0" fillId="3" borderId="9" xfId="0" applyFill="1" applyBorder="1"/>
    <xf numFmtId="0" fontId="15" fillId="3" borderId="10" xfId="0" applyFont="1" applyFill="1" applyBorder="1" applyAlignment="1">
      <alignment horizontal="left"/>
    </xf>
    <xf numFmtId="0" fontId="17" fillId="3" borderId="10" xfId="0" applyFont="1" applyFill="1" applyBorder="1" applyAlignment="1">
      <alignment horizontal="center"/>
    </xf>
    <xf numFmtId="166" fontId="16" fillId="4" borderId="33" xfId="0" applyNumberFormat="1" applyFont="1" applyFill="1" applyBorder="1" applyAlignment="1">
      <alignment horizontal="center"/>
    </xf>
    <xf numFmtId="166" fontId="16" fillId="4" borderId="5" xfId="0" applyNumberFormat="1" applyFont="1" applyFill="1" applyBorder="1" applyAlignment="1">
      <alignment horizontal="center"/>
    </xf>
    <xf numFmtId="10" fontId="16" fillId="4" borderId="5" xfId="0" applyNumberFormat="1" applyFont="1" applyFill="1" applyBorder="1" applyAlignment="1">
      <alignment horizontal="center"/>
    </xf>
    <xf numFmtId="10" fontId="16" fillId="4" borderId="34" xfId="0" applyNumberFormat="1" applyFont="1" applyFill="1" applyBorder="1" applyAlignment="1">
      <alignment horizontal="center"/>
    </xf>
    <xf numFmtId="166" fontId="16" fillId="4" borderId="30" xfId="0" applyNumberFormat="1" applyFont="1" applyFill="1" applyBorder="1" applyAlignment="1">
      <alignment horizontal="center" vertical="center"/>
    </xf>
    <xf numFmtId="166" fontId="16" fillId="4" borderId="31" xfId="0" applyNumberFormat="1" applyFont="1" applyFill="1" applyBorder="1" applyAlignment="1">
      <alignment horizontal="center" vertical="center"/>
    </xf>
    <xf numFmtId="10" fontId="16" fillId="4" borderId="31" xfId="0" applyNumberFormat="1" applyFont="1" applyFill="1" applyBorder="1" applyAlignment="1">
      <alignment horizontal="center" vertical="center"/>
    </xf>
    <xf numFmtId="10" fontId="16" fillId="4" borderId="35" xfId="0" applyNumberFormat="1" applyFont="1" applyFill="1" applyBorder="1" applyAlignment="1">
      <alignment horizontal="center"/>
    </xf>
    <xf numFmtId="0" fontId="17" fillId="0" borderId="0" xfId="0" applyFont="1"/>
    <xf numFmtId="0" fontId="15" fillId="15" borderId="12" xfId="0" applyFont="1" applyFill="1" applyBorder="1" applyAlignment="1">
      <alignment horizontal="center" vertical="center"/>
    </xf>
    <xf numFmtId="0" fontId="15" fillId="15" borderId="19" xfId="0" applyFont="1" applyFill="1" applyBorder="1" applyAlignment="1">
      <alignment horizontal="center" vertical="center"/>
    </xf>
    <xf numFmtId="0" fontId="0" fillId="15" borderId="19" xfId="0" applyFill="1" applyBorder="1"/>
    <xf numFmtId="0" fontId="0" fillId="15" borderId="14" xfId="0" applyFill="1" applyBorder="1"/>
    <xf numFmtId="10" fontId="16" fillId="4" borderId="27" xfId="0" applyNumberFormat="1" applyFont="1" applyFill="1" applyBorder="1" applyAlignment="1">
      <alignment horizontal="center" vertical="center"/>
    </xf>
    <xf numFmtId="10" fontId="16" fillId="4" borderId="36" xfId="0" applyNumberFormat="1" applyFont="1" applyFill="1" applyBorder="1" applyAlignment="1">
      <alignment horizontal="center"/>
    </xf>
    <xf numFmtId="10" fontId="16" fillId="4" borderId="37" xfId="0" applyNumberFormat="1" applyFont="1" applyFill="1" applyBorder="1" applyAlignment="1">
      <alignment horizontal="center"/>
    </xf>
    <xf numFmtId="166" fontId="16" fillId="15" borderId="0" xfId="0" applyNumberFormat="1" applyFont="1" applyFill="1" applyBorder="1" applyAlignment="1">
      <alignment horizontal="center" vertical="center"/>
    </xf>
    <xf numFmtId="166" fontId="16" fillId="15" borderId="0" xfId="0" applyNumberFormat="1" applyFont="1" applyFill="1" applyBorder="1" applyAlignment="1">
      <alignment horizontal="center"/>
    </xf>
    <xf numFmtId="0" fontId="15" fillId="15" borderId="7" xfId="0" applyFont="1" applyFill="1" applyBorder="1" applyAlignment="1">
      <alignment horizontal="center" vertical="center"/>
    </xf>
    <xf numFmtId="166" fontId="16" fillId="15" borderId="17" xfId="0" applyNumberFormat="1" applyFont="1" applyFill="1" applyBorder="1" applyAlignment="1">
      <alignment horizontal="center" vertical="center"/>
    </xf>
    <xf numFmtId="166" fontId="16" fillId="15" borderId="17" xfId="0" applyNumberFormat="1" applyFont="1" applyFill="1" applyBorder="1" applyAlignment="1">
      <alignment horizontal="center"/>
    </xf>
    <xf numFmtId="166" fontId="16" fillId="15" borderId="9" xfId="0" applyNumberFormat="1" applyFont="1" applyFill="1" applyBorder="1" applyAlignment="1">
      <alignment horizontal="center"/>
    </xf>
    <xf numFmtId="0" fontId="15" fillId="15" borderId="10" xfId="0" applyFont="1" applyFill="1" applyBorder="1" applyAlignment="1">
      <alignment horizontal="center" vertical="center"/>
    </xf>
    <xf numFmtId="166" fontId="16" fillId="15" borderId="11" xfId="0" applyNumberFormat="1" applyFont="1" applyFill="1" applyBorder="1" applyAlignment="1">
      <alignment horizontal="center"/>
    </xf>
    <xf numFmtId="166" fontId="0" fillId="0" borderId="0" xfId="0" applyNumberFormat="1"/>
    <xf numFmtId="2" fontId="0" fillId="0" borderId="0" xfId="0" applyNumberFormat="1"/>
    <xf numFmtId="164" fontId="0" fillId="0" borderId="0" xfId="0" applyNumberFormat="1"/>
    <xf numFmtId="166" fontId="0" fillId="0" borderId="0" xfId="1" applyNumberFormat="1" applyFont="1"/>
    <xf numFmtId="0" fontId="0" fillId="17" borderId="40" xfId="0" applyFill="1" applyBorder="1" applyAlignment="1">
      <alignment horizontal="center"/>
    </xf>
    <xf numFmtId="0" fontId="15" fillId="17" borderId="0" xfId="0" applyFont="1" applyFill="1" applyBorder="1" applyAlignment="1">
      <alignment horizontal="center"/>
    </xf>
    <xf numFmtId="2" fontId="15" fillId="17" borderId="0" xfId="0" applyNumberFormat="1" applyFont="1" applyFill="1" applyBorder="1" applyAlignment="1">
      <alignment horizontal="center"/>
    </xf>
    <xf numFmtId="164" fontId="15" fillId="16" borderId="0" xfId="0" applyNumberFormat="1" applyFont="1" applyFill="1" applyBorder="1" applyAlignment="1">
      <alignment horizontal="center"/>
    </xf>
    <xf numFmtId="166" fontId="15" fillId="16" borderId="0" xfId="1" applyNumberFormat="1" applyFont="1" applyFill="1" applyBorder="1" applyAlignment="1">
      <alignment horizontal="center"/>
    </xf>
    <xf numFmtId="2" fontId="15" fillId="16" borderId="0" xfId="2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/>
    </xf>
    <xf numFmtId="166" fontId="15" fillId="0" borderId="0" xfId="0" applyNumberFormat="1" applyFont="1" applyBorder="1" applyAlignment="1">
      <alignment horizontal="center"/>
    </xf>
    <xf numFmtId="0" fontId="15" fillId="17" borderId="18" xfId="0" applyFont="1" applyFill="1" applyBorder="1" applyAlignment="1">
      <alignment horizontal="center" vertical="center"/>
    </xf>
    <xf numFmtId="164" fontId="15" fillId="16" borderId="16" xfId="0" applyNumberFormat="1" applyFont="1" applyFill="1" applyBorder="1" applyAlignment="1">
      <alignment horizontal="right"/>
    </xf>
    <xf numFmtId="43" fontId="15" fillId="16" borderId="16" xfId="2" applyFont="1" applyFill="1" applyBorder="1" applyAlignment="1">
      <alignment horizontal="right"/>
    </xf>
    <xf numFmtId="0" fontId="15" fillId="17" borderId="38" xfId="0" applyFont="1" applyFill="1" applyBorder="1" applyAlignment="1">
      <alignment horizontal="center" vertical="center"/>
    </xf>
    <xf numFmtId="43" fontId="15" fillId="16" borderId="39" xfId="2" applyFont="1" applyFill="1" applyBorder="1" applyAlignment="1">
      <alignment horizontal="right"/>
    </xf>
    <xf numFmtId="0" fontId="15" fillId="17" borderId="23" xfId="0" applyFont="1" applyFill="1" applyBorder="1" applyAlignment="1">
      <alignment horizontal="center" vertical="center"/>
    </xf>
    <xf numFmtId="164" fontId="15" fillId="16" borderId="43" xfId="0" applyNumberFormat="1" applyFont="1" applyFill="1" applyBorder="1" applyAlignment="1">
      <alignment horizontal="right"/>
    </xf>
    <xf numFmtId="0" fontId="15" fillId="17" borderId="44" xfId="0" applyFont="1" applyFill="1" applyBorder="1" applyAlignment="1">
      <alignment horizontal="center"/>
    </xf>
    <xf numFmtId="0" fontId="12" fillId="16" borderId="28" xfId="0" applyFont="1" applyFill="1" applyBorder="1" applyAlignment="1">
      <alignment horizontal="center"/>
    </xf>
    <xf numFmtId="43" fontId="0" fillId="0" borderId="0" xfId="0" applyNumberFormat="1"/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66" fontId="0" fillId="16" borderId="45" xfId="0" applyNumberFormat="1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center" vertical="center"/>
    </xf>
    <xf numFmtId="0" fontId="15" fillId="3" borderId="24" xfId="0" applyFont="1" applyFill="1" applyBorder="1" applyAlignment="1">
      <alignment horizontal="center"/>
    </xf>
    <xf numFmtId="0" fontId="15" fillId="3" borderId="28" xfId="0" applyFont="1" applyFill="1" applyBorder="1" applyAlignment="1">
      <alignment horizontal="center"/>
    </xf>
    <xf numFmtId="0" fontId="15" fillId="3" borderId="20" xfId="0" applyFont="1" applyFill="1" applyBorder="1" applyAlignment="1">
      <alignment horizontal="center"/>
    </xf>
    <xf numFmtId="0" fontId="15" fillId="3" borderId="25" xfId="0" applyFont="1" applyFill="1" applyBorder="1" applyAlignment="1">
      <alignment horizontal="center"/>
    </xf>
    <xf numFmtId="0" fontId="15" fillId="3" borderId="26" xfId="0" applyFont="1" applyFill="1" applyBorder="1" applyAlignment="1">
      <alignment horizontal="center"/>
    </xf>
    <xf numFmtId="0" fontId="15" fillId="3" borderId="21" xfId="0" applyFont="1" applyFill="1" applyBorder="1" applyAlignment="1">
      <alignment horizontal="center"/>
    </xf>
    <xf numFmtId="166" fontId="0" fillId="16" borderId="41" xfId="0" applyNumberFormat="1" applyFill="1" applyBorder="1" applyAlignment="1">
      <alignment horizontal="center" vertical="center"/>
    </xf>
    <xf numFmtId="0" fontId="0" fillId="16" borderId="41" xfId="0" applyFill="1" applyBorder="1" applyAlignment="1">
      <alignment horizontal="center" vertical="center"/>
    </xf>
    <xf numFmtId="0" fontId="0" fillId="16" borderId="42" xfId="0" applyFill="1" applyBorder="1" applyAlignment="1">
      <alignment horizontal="center" vertical="center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2.3584934756444014</c:v>
                </c:pt>
                <c:pt idx="1">
                  <c:v>6.2433318173740169</c:v>
                </c:pt>
                <c:pt idx="2">
                  <c:v>8.4606221436953248</c:v>
                </c:pt>
                <c:pt idx="3">
                  <c:v>10.193224870988717</c:v>
                </c:pt>
                <c:pt idx="4">
                  <c:v>11.664984545143835</c:v>
                </c:pt>
                <c:pt idx="5">
                  <c:v>12.967369171085901</c:v>
                </c:pt>
                <c:pt idx="6">
                  <c:v>14.148421673971205</c:v>
                </c:pt>
                <c:pt idx="7">
                  <c:v>15.23707034718317</c:v>
                </c:pt>
                <c:pt idx="8">
                  <c:v>16.2523264589714</c:v>
                </c:pt>
                <c:pt idx="9">
                  <c:v>17.207473010504781</c:v>
                </c:pt>
                <c:pt idx="10">
                  <c:v>18.112221920637406</c:v>
                </c:pt>
                <c:pt idx="11">
                  <c:v>18.973927654716533</c:v>
                </c:pt>
                <c:pt idx="12">
                  <c:v>19.798317319372387</c:v>
                </c:pt>
                <c:pt idx="13">
                  <c:v>20.58995362910143</c:v>
                </c:pt>
                <c:pt idx="14">
                  <c:v>21.352541253777321</c:v>
                </c:pt>
                <c:pt idx="15">
                  <c:v>22.089136789267219</c:v>
                </c:pt>
                <c:pt idx="16">
                  <c:v>22.802296991875128</c:v>
                </c:pt>
                <c:pt idx="17">
                  <c:v>23.494186102583214</c:v>
                </c:pt>
                <c:pt idx="18">
                  <c:v>24.166655263079775</c:v>
                </c:pt>
                <c:pt idx="19">
                  <c:v>24.821302408368908</c:v>
                </c:pt>
                <c:pt idx="20">
                  <c:v>25.459518197674146</c:v>
                </c:pt>
                <c:pt idx="21">
                  <c:v>29</c:v>
                </c:pt>
                <c:pt idx="22">
                  <c:v>29</c:v>
                </c:pt>
                <c:pt idx="23">
                  <c:v>29</c:v>
                </c:pt>
                <c:pt idx="24">
                  <c:v>29</c:v>
                </c:pt>
                <c:pt idx="25">
                  <c:v>29</c:v>
                </c:pt>
                <c:pt idx="26">
                  <c:v>29</c:v>
                </c:pt>
                <c:pt idx="27">
                  <c:v>29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29</c:v>
                </c:pt>
                <c:pt idx="33">
                  <c:v>29</c:v>
                </c:pt>
                <c:pt idx="34">
                  <c:v>29</c:v>
                </c:pt>
                <c:pt idx="35">
                  <c:v>29</c:v>
                </c:pt>
                <c:pt idx="36">
                  <c:v>29</c:v>
                </c:pt>
                <c:pt idx="37">
                  <c:v>29</c:v>
                </c:pt>
                <c:pt idx="38">
                  <c:v>29</c:v>
                </c:pt>
                <c:pt idx="39">
                  <c:v>29</c:v>
                </c:pt>
                <c:pt idx="40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2.7134173957030514</c:v>
                </c:pt>
                <c:pt idx="1">
                  <c:v>6.3464044729974525</c:v>
                </c:pt>
                <c:pt idx="2">
                  <c:v>8.5020181322200958</c:v>
                </c:pt>
                <c:pt idx="3">
                  <c:v>10.194843236469335</c:v>
                </c:pt>
                <c:pt idx="4">
                  <c:v>11.635254557975991</c:v>
                </c:pt>
                <c:pt idx="5">
                  <c:v>12.910761374235202</c:v>
                </c:pt>
                <c:pt idx="6">
                  <c:v>14.067723066773201</c:v>
                </c:pt>
                <c:pt idx="7">
                  <c:v>15.134197768611171</c:v>
                </c:pt>
                <c:pt idx="8">
                  <c:v>16.128688166865373</c:v>
                </c:pt>
                <c:pt idx="9">
                  <c:v>17.064153623376537</c:v>
                </c:pt>
                <c:pt idx="10">
                  <c:v>17.95008683455066</c:v>
                </c:pt>
                <c:pt idx="11">
                  <c:v>18.793686500947196</c:v>
                </c:pt>
                <c:pt idx="12">
                  <c:v>19.600564795947921</c:v>
                </c:pt>
                <c:pt idx="13">
                  <c:v>20.37519699966797</c:v>
                </c:pt>
                <c:pt idx="14">
                  <c:v>21.121219570655654</c:v>
                </c:pt>
                <c:pt idx="15">
                  <c:v>21.841634754863986</c:v>
                </c:pt>
                <c:pt idx="16">
                  <c:v>22.538955219559924</c:v>
                </c:pt>
                <c:pt idx="17">
                  <c:v>23.215308884781798</c:v>
                </c:pt>
                <c:pt idx="18">
                  <c:v>23.872516567601064</c:v>
                </c:pt>
                <c:pt idx="19">
                  <c:v>24.512150586341786</c:v>
                </c:pt>
                <c:pt idx="20">
                  <c:v>25.135579735624706</c:v>
                </c:pt>
                <c:pt idx="21">
                  <c:v>25.375129226076385</c:v>
                </c:pt>
                <c:pt idx="22">
                  <c:v>25.375129226076385</c:v>
                </c:pt>
                <c:pt idx="23">
                  <c:v>25.375129226076385</c:v>
                </c:pt>
                <c:pt idx="24">
                  <c:v>25.375129226076385</c:v>
                </c:pt>
                <c:pt idx="25">
                  <c:v>25.375129226076385</c:v>
                </c:pt>
                <c:pt idx="26">
                  <c:v>25.375129226076385</c:v>
                </c:pt>
                <c:pt idx="27">
                  <c:v>25.375129226076385</c:v>
                </c:pt>
                <c:pt idx="28">
                  <c:v>25.375129226076385</c:v>
                </c:pt>
                <c:pt idx="29">
                  <c:v>25.375129226076385</c:v>
                </c:pt>
                <c:pt idx="30">
                  <c:v>25.375129226076385</c:v>
                </c:pt>
                <c:pt idx="31">
                  <c:v>25.375129226076385</c:v>
                </c:pt>
                <c:pt idx="32">
                  <c:v>25.375129226076385</c:v>
                </c:pt>
                <c:pt idx="33">
                  <c:v>25.375129226076385</c:v>
                </c:pt>
                <c:pt idx="34">
                  <c:v>25.375129226076385</c:v>
                </c:pt>
                <c:pt idx="35">
                  <c:v>25.375129226076385</c:v>
                </c:pt>
                <c:pt idx="36">
                  <c:v>25.375129226076385</c:v>
                </c:pt>
                <c:pt idx="37">
                  <c:v>25.375129226076385</c:v>
                </c:pt>
                <c:pt idx="38">
                  <c:v>25.375129226076385</c:v>
                </c:pt>
                <c:pt idx="39">
                  <c:v>25.375129226076385</c:v>
                </c:pt>
                <c:pt idx="40">
                  <c:v>25.375129226076385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0.24713034324202851</c:v>
                </c:pt>
                <c:pt idx="1">
                  <c:v>5.0503211292476173</c:v>
                </c:pt>
                <c:pt idx="2">
                  <c:v>7.0715657160282754</c:v>
                </c:pt>
                <c:pt idx="3">
                  <c:v>8.6163291325270936</c:v>
                </c:pt>
                <c:pt idx="4">
                  <c:v>9.9162066865145668</c:v>
                </c:pt>
                <c:pt idx="5">
                  <c:v>11.060333491151171</c:v>
                </c:pt>
                <c:pt idx="6">
                  <c:v>12.094222763792711</c:v>
                </c:pt>
                <c:pt idx="7">
                  <c:v>13.044819806121687</c:v>
                </c:pt>
                <c:pt idx="8">
                  <c:v>13.929632381833885</c:v>
                </c:pt>
                <c:pt idx="9">
                  <c:v>14.760792971500184</c:v>
                </c:pt>
                <c:pt idx="10">
                  <c:v>15.547117265925076</c:v>
                </c:pt>
                <c:pt idx="11">
                  <c:v>16.295248520509784</c:v>
                </c:pt>
                <c:pt idx="12">
                  <c:v>17.010339655736647</c:v>
                </c:pt>
                <c:pt idx="13">
                  <c:v>17.696482620388867</c:v>
                </c:pt>
                <c:pt idx="14">
                  <c:v>18.356990800967885</c:v>
                </c:pt>
                <c:pt idx="15">
                  <c:v>18.994591617847586</c:v>
                </c:pt>
                <c:pt idx="16">
                  <c:v>19.611561918043069</c:v>
                </c:pt>
                <c:pt idx="17">
                  <c:v>20.209825645498825</c:v>
                </c:pt>
                <c:pt idx="18">
                  <c:v>20.791025885404057</c:v>
                </c:pt>
                <c:pt idx="19">
                  <c:v>21.356579046957599</c:v>
                </c:pt>
                <c:pt idx="20">
                  <c:v>21.907716313782306</c:v>
                </c:pt>
                <c:pt idx="21">
                  <c:v>25.910781133033364</c:v>
                </c:pt>
                <c:pt idx="22">
                  <c:v>29</c:v>
                </c:pt>
                <c:pt idx="23">
                  <c:v>29</c:v>
                </c:pt>
                <c:pt idx="24">
                  <c:v>29</c:v>
                </c:pt>
                <c:pt idx="25">
                  <c:v>29</c:v>
                </c:pt>
                <c:pt idx="26">
                  <c:v>29</c:v>
                </c:pt>
                <c:pt idx="27">
                  <c:v>29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29</c:v>
                </c:pt>
                <c:pt idx="33">
                  <c:v>29</c:v>
                </c:pt>
                <c:pt idx="34">
                  <c:v>29</c:v>
                </c:pt>
                <c:pt idx="35">
                  <c:v>29</c:v>
                </c:pt>
                <c:pt idx="36">
                  <c:v>29</c:v>
                </c:pt>
                <c:pt idx="37">
                  <c:v>29</c:v>
                </c:pt>
                <c:pt idx="38">
                  <c:v>29</c:v>
                </c:pt>
                <c:pt idx="39">
                  <c:v>29</c:v>
                </c:pt>
                <c:pt idx="40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936.50892330146166</c:v>
                </c:pt>
                <c:pt idx="1">
                  <c:v>934.9347329924168</c:v>
                </c:pt>
                <c:pt idx="2">
                  <c:v>934.06509448626082</c:v>
                </c:pt>
                <c:pt idx="3">
                  <c:v>933.40065067296496</c:v>
                </c:pt>
                <c:pt idx="4">
                  <c:v>932.84680488505944</c:v>
                </c:pt>
                <c:pt idx="5">
                  <c:v>932.36487333335879</c:v>
                </c:pt>
                <c:pt idx="6">
                  <c:v>931.93452348843209</c:v>
                </c:pt>
                <c:pt idx="7">
                  <c:v>931.54350439120674</c:v>
                </c:pt>
                <c:pt idx="8">
                  <c:v>931.18375972934416</c:v>
                </c:pt>
                <c:pt idx="9">
                  <c:v>930.84965711078667</c:v>
                </c:pt>
                <c:pt idx="10">
                  <c:v>930.53707585507527</c:v>
                </c:pt>
                <c:pt idx="11">
                  <c:v>930.24289362962634</c:v>
                </c:pt>
                <c:pt idx="12">
                  <c:v>929.96467752891647</c:v>
                </c:pt>
                <c:pt idx="13">
                  <c:v>929.70048812542234</c:v>
                </c:pt>
                <c:pt idx="14">
                  <c:v>929.44874977228699</c:v>
                </c:pt>
                <c:pt idx="15">
                  <c:v>929.20816168395686</c:v>
                </c:pt>
                <c:pt idx="16">
                  <c:v>928.97763514389339</c:v>
                </c:pt>
                <c:pt idx="17">
                  <c:v>928.75624802955122</c:v>
                </c:pt>
                <c:pt idx="18">
                  <c:v>928.54321119144697</c:v>
                </c:pt>
                <c:pt idx="19">
                  <c:v>928.33784291747065</c:v>
                </c:pt>
                <c:pt idx="20">
                  <c:v>928.13954966279164</c:v>
                </c:pt>
                <c:pt idx="21">
                  <c:v>927.03525470987836</c:v>
                </c:pt>
                <c:pt idx="22">
                  <c:v>927.03994459721844</c:v>
                </c:pt>
                <c:pt idx="23">
                  <c:v>927.04295087107698</c:v>
                </c:pt>
                <c:pt idx="24">
                  <c:v>927.04504216245039</c:v>
                </c:pt>
                <c:pt idx="25">
                  <c:v>927.04658102173823</c:v>
                </c:pt>
                <c:pt idx="26">
                  <c:v>927.04776080496174</c:v>
                </c:pt>
                <c:pt idx="27">
                  <c:v>927.0486940608472</c:v>
                </c:pt>
                <c:pt idx="28">
                  <c:v>927.04945075126113</c:v>
                </c:pt>
                <c:pt idx="29">
                  <c:v>927.05007665327719</c:v>
                </c:pt>
                <c:pt idx="30">
                  <c:v>927.05060297829004</c:v>
                </c:pt>
                <c:pt idx="31">
                  <c:v>927.05105173840309</c:v>
                </c:pt>
                <c:pt idx="32">
                  <c:v>927.05143890309296</c:v>
                </c:pt>
                <c:pt idx="33">
                  <c:v>927.05177633952974</c:v>
                </c:pt>
                <c:pt idx="34">
                  <c:v>927.05207305035754</c:v>
                </c:pt>
                <c:pt idx="35">
                  <c:v>927.05233598881262</c:v>
                </c:pt>
                <c:pt idx="36">
                  <c:v>927.05257061049508</c:v>
                </c:pt>
                <c:pt idx="37">
                  <c:v>927.05278125597908</c:v>
                </c:pt>
                <c:pt idx="38">
                  <c:v>927.0529714218294</c:v>
                </c:pt>
                <c:pt idx="39">
                  <c:v>927.05314395623543</c:v>
                </c:pt>
                <c:pt idx="40">
                  <c:v>927.05330120263875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936.29175749468777</c:v>
                </c:pt>
                <c:pt idx="1">
                  <c:v>934.80223019069138</c:v>
                </c:pt>
                <c:pt idx="2">
                  <c:v>933.95129201535337</c:v>
                </c:pt>
                <c:pt idx="3">
                  <c:v>933.30081318642806</c:v>
                </c:pt>
                <c:pt idx="4">
                  <c:v>932.75984593798182</c:v>
                </c:pt>
                <c:pt idx="5">
                  <c:v>932.290526749283</c:v>
                </c:pt>
                <c:pt idx="6">
                  <c:v>931.8727811591433</c:v>
                </c:pt>
                <c:pt idx="7">
                  <c:v>931.49445046757057</c:v>
                </c:pt>
                <c:pt idx="8">
                  <c:v>931.14751091743028</c:v>
                </c:pt>
                <c:pt idx="9">
                  <c:v>930.82633864565673</c:v>
                </c:pt>
                <c:pt idx="10">
                  <c:v>930.52681130331496</c:v>
                </c:pt>
                <c:pt idx="11">
                  <c:v>930.2458005757826</c:v>
                </c:pt>
                <c:pt idx="12">
                  <c:v>929.98086591962101</c:v>
                </c:pt>
                <c:pt idx="13">
                  <c:v>929.73005985278564</c:v>
                </c:pt>
                <c:pt idx="14">
                  <c:v>929.49179883623322</c:v>
                </c:pt>
                <c:pt idx="15">
                  <c:v>929.26477461375623</c:v>
                </c:pt>
                <c:pt idx="16">
                  <c:v>929.04789152048158</c:v>
                </c:pt>
                <c:pt idx="17">
                  <c:v>928.84022102979361</c:v>
                </c:pt>
                <c:pt idx="18">
                  <c:v>928.64096807793385</c:v>
                </c:pt>
                <c:pt idx="19">
                  <c:v>928.44944568071367</c:v>
                </c:pt>
                <c:pt idx="20">
                  <c:v>927.90263131829761</c:v>
                </c:pt>
                <c:pt idx="21">
                  <c:v>927.89584528544549</c:v>
                </c:pt>
                <c:pt idx="22">
                  <c:v>927.75072227736518</c:v>
                </c:pt>
                <c:pt idx="23">
                  <c:v>927.6577090180698</c:v>
                </c:pt>
                <c:pt idx="24">
                  <c:v>927.59301073473273</c:v>
                </c:pt>
                <c:pt idx="25">
                  <c:v>927.5454060183921</c:v>
                </c:pt>
                <c:pt idx="26">
                  <c:v>927.50891105246228</c:v>
                </c:pt>
                <c:pt idx="27">
                  <c:v>927.48004311962359</c:v>
                </c:pt>
                <c:pt idx="28">
                  <c:v>927.4566374782413</c:v>
                </c:pt>
                <c:pt idx="29">
                  <c:v>927.43727779139169</c:v>
                </c:pt>
                <c:pt idx="30">
                  <c:v>927.42099842966343</c:v>
                </c:pt>
                <c:pt idx="31">
                  <c:v>927.40711840230165</c:v>
                </c:pt>
                <c:pt idx="32">
                  <c:v>927.39514367682148</c:v>
                </c:pt>
                <c:pt idx="33">
                  <c:v>927.38470714063794</c:v>
                </c:pt>
                <c:pt idx="34">
                  <c:v>927.37553030273091</c:v>
                </c:pt>
                <c:pt idx="35">
                  <c:v>927.36739807393246</c:v>
                </c:pt>
                <c:pt idx="36">
                  <c:v>927.3601416957888</c:v>
                </c:pt>
                <c:pt idx="37">
                  <c:v>927.35362690332227</c:v>
                </c:pt>
                <c:pt idx="38">
                  <c:v>927.34774554057628</c:v>
                </c:pt>
                <c:pt idx="39">
                  <c:v>927.34240950842616</c:v>
                </c:pt>
                <c:pt idx="40">
                  <c:v>927.33754632130876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934.86270625648376</c:v>
                </c:pt>
                <c:pt idx="1">
                  <c:v>930.60609846502473</c:v>
                </c:pt>
                <c:pt idx="2">
                  <c:v>928.86575536148212</c:v>
                </c:pt>
                <c:pt idx="3">
                  <c:v>927.55661847356635</c:v>
                </c:pt>
                <c:pt idx="4">
                  <c:v>926.46918157591585</c:v>
                </c:pt>
                <c:pt idx="5">
                  <c:v>925.52279721275704</c:v>
                </c:pt>
                <c:pt idx="6">
                  <c:v>924.67627923789667</c:v>
                </c:pt>
                <c:pt idx="7">
                  <c:v>923.9052401707313</c:v>
                </c:pt>
                <c:pt idx="8">
                  <c:v>923.19383155445507</c:v>
                </c:pt>
                <c:pt idx="9">
                  <c:v>922.53106904392382</c:v>
                </c:pt>
                <c:pt idx="10">
                  <c:v>921.90896989472185</c:v>
                </c:pt>
                <c:pt idx="11">
                  <c:v>921.32151755782672</c:v>
                </c:pt>
                <c:pt idx="12">
                  <c:v>920.7640444639228</c:v>
                </c:pt>
                <c:pt idx="13">
                  <c:v>920.23284347654067</c:v>
                </c:pt>
                <c:pt idx="14">
                  <c:v>919.72491231161484</c:v>
                </c:pt>
                <c:pt idx="15">
                  <c:v>919.23777922605291</c:v>
                </c:pt>
                <c:pt idx="16">
                  <c:v>918.76938047050385</c:v>
                </c:pt>
                <c:pt idx="17">
                  <c:v>918.31797187959421</c:v>
                </c:pt>
                <c:pt idx="18">
                  <c:v>917.88206365396809</c:v>
                </c:pt>
                <c:pt idx="19">
                  <c:v>917.46037130810271</c:v>
                </c:pt>
                <c:pt idx="20">
                  <c:v>917.05177814228193</c:v>
                </c:pt>
                <c:pt idx="21">
                  <c:v>914.15331715749744</c:v>
                </c:pt>
                <c:pt idx="22">
                  <c:v>911.94789084691888</c:v>
                </c:pt>
                <c:pt idx="23">
                  <c:v>911.95185930186574</c:v>
                </c:pt>
                <c:pt idx="24">
                  <c:v>911.95461992973503</c:v>
                </c:pt>
                <c:pt idx="25">
                  <c:v>911.95665131605233</c:v>
                </c:pt>
                <c:pt idx="26">
                  <c:v>911.95820870126477</c:v>
                </c:pt>
                <c:pt idx="27">
                  <c:v>911.95944065596029</c:v>
                </c:pt>
                <c:pt idx="28">
                  <c:v>911.96043953377443</c:v>
                </c:pt>
                <c:pt idx="29">
                  <c:v>911.96126576308234</c:v>
                </c:pt>
                <c:pt idx="30">
                  <c:v>911.96196054474535</c:v>
                </c:pt>
                <c:pt idx="31">
                  <c:v>911.96255293603588</c:v>
                </c:pt>
                <c:pt idx="32">
                  <c:v>911.96306401761171</c:v>
                </c:pt>
                <c:pt idx="33">
                  <c:v>911.9635094548463</c:v>
                </c:pt>
                <c:pt idx="34">
                  <c:v>911.96390113177176</c:v>
                </c:pt>
                <c:pt idx="35">
                  <c:v>911.96424822708047</c:v>
                </c:pt>
                <c:pt idx="36">
                  <c:v>911.96455794249528</c:v>
                </c:pt>
                <c:pt idx="37">
                  <c:v>911.96483600783927</c:v>
                </c:pt>
                <c:pt idx="38">
                  <c:v>911.96508703879181</c:v>
                </c:pt>
                <c:pt idx="39">
                  <c:v>911.96531479513772</c:v>
                </c:pt>
                <c:pt idx="40">
                  <c:v>911.96552237036406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Объемный коэффициент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1.0118357772724025</c:v>
                </c:pt>
                <c:pt idx="1">
                  <c:v>1.0181082133792945</c:v>
                </c:pt>
                <c:pt idx="2">
                  <c:v>1.0216661702689225</c:v>
                </c:pt>
                <c:pt idx="3">
                  <c:v>1.0244344225097655</c:v>
                </c:pt>
                <c:pt idx="4">
                  <c:v>1.0267773823537298</c:v>
                </c:pt>
                <c:pt idx="5">
                  <c:v>1.0288440060972888</c:v>
                </c:pt>
                <c:pt idx="6">
                  <c:v>1.0307125553065797</c:v>
                </c:pt>
                <c:pt idx="7">
                  <c:v>1.0324301671636633</c:v>
                </c:pt>
                <c:pt idx="8">
                  <c:v>1.0340278279673805</c:v>
                </c:pt>
                <c:pt idx="9">
                  <c:v>1.0355271932860772</c:v>
                </c:pt>
                <c:pt idx="10">
                  <c:v>1.0369441007836611</c:v>
                </c:pt>
                <c:pt idx="11">
                  <c:v>1.0382905467899719</c:v>
                </c:pt>
                <c:pt idx="12">
                  <c:v>1.0395758755171738</c:v>
                </c:pt>
                <c:pt idx="13">
                  <c:v>1.040807533257168</c:v>
                </c:pt>
                <c:pt idx="14">
                  <c:v>1.0419915674985207</c:v>
                </c:pt>
                <c:pt idx="15">
                  <c:v>1.0431329690618645</c:v>
                </c:pt>
                <c:pt idx="16">
                  <c:v>1.0442359136678439</c:v>
                </c:pt>
                <c:pt idx="17">
                  <c:v>1.0453039368565122</c:v>
                </c:pt>
                <c:pt idx="18">
                  <c:v>1.0463400633932323</c:v>
                </c:pt>
                <c:pt idx="19">
                  <c:v>1.0473469050679545</c:v>
                </c:pt>
                <c:pt idx="20">
                  <c:v>1.0483267353464176</c:v>
                </c:pt>
                <c:pt idx="21">
                  <c:v>1.0537747782911695</c:v>
                </c:pt>
                <c:pt idx="22">
                  <c:v>1.0537694472533639</c:v>
                </c:pt>
                <c:pt idx="23">
                  <c:v>1.0537660300227607</c:v>
                </c:pt>
                <c:pt idx="24">
                  <c:v>1.0537636528655483</c:v>
                </c:pt>
                <c:pt idx="25">
                  <c:v>1.0537619036611203</c:v>
                </c:pt>
                <c:pt idx="26">
                  <c:v>1.0537605626184383</c:v>
                </c:pt>
                <c:pt idx="27">
                  <c:v>1.0537595018022663</c:v>
                </c:pt>
                <c:pt idx="28">
                  <c:v>1.0537586416866458</c:v>
                </c:pt>
                <c:pt idx="29">
                  <c:v>1.0537579302367739</c:v>
                </c:pt>
                <c:pt idx="30">
                  <c:v>1.0537573319747648</c:v>
                </c:pt>
                <c:pt idx="31">
                  <c:v>1.0537568218795996</c:v>
                </c:pt>
                <c:pt idx="32">
                  <c:v>1.0537563817989137</c:v>
                </c:pt>
                <c:pt idx="33">
                  <c:v>1.0537559982434233</c:v>
                </c:pt>
                <c:pt idx="34">
                  <c:v>1.0537556609799366</c:v>
                </c:pt>
                <c:pt idx="35">
                  <c:v>1.0537553621048086</c:v>
                </c:pt>
                <c:pt idx="36">
                  <c:v>1.0537550954167438</c:v>
                </c:pt>
                <c:pt idx="37">
                  <c:v>1.0537548559818848</c:v>
                </c:pt>
                <c:pt idx="38">
                  <c:v>1.0537546398257487</c:v>
                </c:pt>
                <c:pt idx="39">
                  <c:v>1.0537544437108528</c:v>
                </c:pt>
                <c:pt idx="40">
                  <c:v>1.0537542649734533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1.0124872682481945</c:v>
                </c:pt>
                <c:pt idx="1">
                  <c:v>1.0183737601011069</c:v>
                </c:pt>
                <c:pt idx="2">
                  <c:v>1.0218393958613756</c:v>
                </c:pt>
                <c:pt idx="3">
                  <c:v>1.0245459153937231</c:v>
                </c:pt>
                <c:pt idx="4">
                  <c:v>1.0268380608526044</c:v>
                </c:pt>
                <c:pt idx="5">
                  <c:v>1.0288592900309126</c:v>
                </c:pt>
                <c:pt idx="6">
                  <c:v>1.0306856289427155</c:v>
                </c:pt>
                <c:pt idx="7">
                  <c:v>1.0323631063929779</c:v>
                </c:pt>
                <c:pt idx="8">
                  <c:v>1.0339220856119371</c:v>
                </c:pt>
                <c:pt idx="9">
                  <c:v>1.03538383994997</c:v>
                </c:pt>
                <c:pt idx="10">
                  <c:v>1.036763956995461</c:v>
                </c:pt>
                <c:pt idx="11">
                  <c:v>1.038074261147625</c:v>
                </c:pt>
                <c:pt idx="12">
                  <c:v>1.0393239736758502</c:v>
                </c:pt>
                <c:pt idx="13">
                  <c:v>1.0405204501080931</c:v>
                </c:pt>
                <c:pt idx="14">
                  <c:v>1.041669669131867</c:v>
                </c:pt>
                <c:pt idx="15">
                  <c:v>1.0427765682442676</c:v>
                </c:pt>
                <c:pt idx="16">
                  <c:v>1.0438452810494141</c:v>
                </c:pt>
                <c:pt idx="17">
                  <c:v>1.0448793092767603</c:v>
                </c:pt>
                <c:pt idx="18">
                  <c:v>1.0458816502052759</c:v>
                </c:pt>
                <c:pt idx="19">
                  <c:v>1.0468548928063519</c:v>
                </c:pt>
                <c:pt idx="20">
                  <c:v>1.0482105461915308</c:v>
                </c:pt>
                <c:pt idx="21">
                  <c:v>1.0485020714136914</c:v>
                </c:pt>
                <c:pt idx="22">
                  <c:v>1.0486660828996739</c:v>
                </c:pt>
                <c:pt idx="23">
                  <c:v>1.048771229279998</c:v>
                </c:pt>
                <c:pt idx="24">
                  <c:v>1.0488443795704405</c:v>
                </c:pt>
                <c:pt idx="25">
                  <c:v>1.0488982097536865</c:v>
                </c:pt>
                <c:pt idx="26">
                  <c:v>1.0489394810600563</c:v>
                </c:pt>
                <c:pt idx="27">
                  <c:v>1.0489721294331569</c:v>
                </c:pt>
                <c:pt idx="28">
                  <c:v>1.048998601684785</c:v>
                </c:pt>
                <c:pt idx="29">
                  <c:v>1.0490204988900416</c:v>
                </c:pt>
                <c:pt idx="30">
                  <c:v>1.0490389127325044</c:v>
                </c:pt>
                <c:pt idx="31">
                  <c:v>1.0490546131606371</c:v>
                </c:pt>
                <c:pt idx="32">
                  <c:v>1.0490681587793433</c:v>
                </c:pt>
                <c:pt idx="33">
                  <c:v>1.0490799647081168</c:v>
                </c:pt>
                <c:pt idx="34">
                  <c:v>1.0490903458713814</c:v>
                </c:pt>
                <c:pt idx="35">
                  <c:v>1.0490995455076211</c:v>
                </c:pt>
                <c:pt idx="36">
                  <c:v>1.04910775446838</c:v>
                </c:pt>
                <c:pt idx="37">
                  <c:v>1.0491151246010857</c:v>
                </c:pt>
                <c:pt idx="38">
                  <c:v>1.0491217782287456</c:v>
                </c:pt>
                <c:pt idx="39">
                  <c:v>1.049127814993031</c:v>
                </c:pt>
                <c:pt idx="40">
                  <c:v>1.0491333168783958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1.0111342776860812</c:v>
                </c:pt>
                <c:pt idx="1">
                  <c:v>1.0214342901460864</c:v>
                </c:pt>
                <c:pt idx="2">
                  <c:v>1.0257406876636954</c:v>
                </c:pt>
                <c:pt idx="3">
                  <c:v>1.0290195696536752</c:v>
                </c:pt>
                <c:pt idx="4">
                  <c:v>1.0317700639669853</c:v>
                </c:pt>
                <c:pt idx="5">
                  <c:v>1.0341843241096258</c:v>
                </c:pt>
                <c:pt idx="6">
                  <c:v>1.0363604888245719</c:v>
                </c:pt>
                <c:pt idx="7">
                  <c:v>1.0383566723186297</c:v>
                </c:pt>
                <c:pt idx="8">
                  <c:v>1.0402106425211237</c:v>
                </c:pt>
                <c:pt idx="9">
                  <c:v>1.0419485770730039</c:v>
                </c:pt>
                <c:pt idx="10">
                  <c:v>1.0435895009864908</c:v>
                </c:pt>
                <c:pt idx="11">
                  <c:v>1.0451477538028071</c:v>
                </c:pt>
                <c:pt idx="12">
                  <c:v>1.0466344603222957</c:v>
                </c:pt>
                <c:pt idx="13">
                  <c:v>1.0480584564793169</c:v>
                </c:pt>
                <c:pt idx="14">
                  <c:v>1.0494268983858634</c:v>
                </c:pt>
                <c:pt idx="15">
                  <c:v>1.050745677723117</c:v>
                </c:pt>
                <c:pt idx="16">
                  <c:v>1.0520197137836336</c:v>
                </c:pt>
                <c:pt idx="17">
                  <c:v>1.0532531641652474</c:v>
                </c:pt>
                <c:pt idx="18">
                  <c:v>1.0544495801986293</c:v>
                </c:pt>
                <c:pt idx="19">
                  <c:v>1.0556120238508528</c:v>
                </c:pt>
                <c:pt idx="20">
                  <c:v>1.0567431571656989</c:v>
                </c:pt>
                <c:pt idx="21">
                  <c:v>1.0649085475139</c:v>
                </c:pt>
                <c:pt idx="22">
                  <c:v>1.0712085414143271</c:v>
                </c:pt>
                <c:pt idx="23">
                  <c:v>1.071203879937088</c:v>
                </c:pt>
                <c:pt idx="24">
                  <c:v>1.0712006372370457</c:v>
                </c:pt>
                <c:pt idx="25">
                  <c:v>1.0711982511342475</c:v>
                </c:pt>
                <c:pt idx="26">
                  <c:v>1.0711964218088463</c:v>
                </c:pt>
                <c:pt idx="27">
                  <c:v>1.0711949747428884</c:v>
                </c:pt>
                <c:pt idx="28">
                  <c:v>1.0711938014541704</c:v>
                </c:pt>
                <c:pt idx="29">
                  <c:v>1.071192830961512</c:v>
                </c:pt>
                <c:pt idx="30">
                  <c:v>1.0711920148692091</c:v>
                </c:pt>
                <c:pt idx="31">
                  <c:v>1.0711913190458795</c:v>
                </c:pt>
                <c:pt idx="32">
                  <c:v>1.0711907187297385</c:v>
                </c:pt>
                <c:pt idx="33">
                  <c:v>1.0711901955199536</c:v>
                </c:pt>
                <c:pt idx="34">
                  <c:v>1.071189735457355</c:v>
                </c:pt>
                <c:pt idx="35">
                  <c:v>1.0711893277605262</c:v>
                </c:pt>
                <c:pt idx="36">
                  <c:v>1.0711889639702405</c:v>
                </c:pt>
                <c:pt idx="37">
                  <c:v>1.0711886373561914</c:v>
                </c:pt>
                <c:pt idx="38">
                  <c:v>1.0711883424967634</c:v>
                </c:pt>
                <c:pt idx="39">
                  <c:v>1.071188074975687</c:v>
                </c:pt>
                <c:pt idx="40">
                  <c:v>1.0711878311593346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180.78740135230979</c:v>
                </c:pt>
                <c:pt idx="1">
                  <c:v>152.13389646568055</c:v>
                </c:pt>
                <c:pt idx="2">
                  <c:v>138.68433528920193</c:v>
                </c:pt>
                <c:pt idx="3">
                  <c:v>129.35998552493282</c:v>
                </c:pt>
                <c:pt idx="4">
                  <c:v>122.14851309132015</c:v>
                </c:pt>
                <c:pt idx="5">
                  <c:v>116.25168443789903</c:v>
                </c:pt>
                <c:pt idx="6">
                  <c:v>111.26111431682035</c:v>
                </c:pt>
                <c:pt idx="7">
                  <c:v>106.93679195607675</c:v>
                </c:pt>
                <c:pt idx="8">
                  <c:v>103.12453633041579</c:v>
                </c:pt>
                <c:pt idx="9">
                  <c:v>99.718923698966066</c:v>
                </c:pt>
                <c:pt idx="10">
                  <c:v>96.6444458751794</c:v>
                </c:pt>
                <c:pt idx="11">
                  <c:v>93.845043148717409</c:v>
                </c:pt>
                <c:pt idx="12">
                  <c:v>91.277883887942153</c:v>
                </c:pt>
                <c:pt idx="13">
                  <c:v>88.909466459470437</c:v>
                </c:pt>
                <c:pt idx="14">
                  <c:v>86.713069350552843</c:v>
                </c:pt>
                <c:pt idx="15">
                  <c:v>84.667022973398659</c:v>
                </c:pt>
                <c:pt idx="16">
                  <c:v>82.753502890803603</c:v>
                </c:pt>
                <c:pt idx="17">
                  <c:v>80.957665404680952</c:v>
                </c:pt>
                <c:pt idx="18">
                  <c:v>79.267014602901298</c:v>
                </c:pt>
                <c:pt idx="19">
                  <c:v>77.670929898842545</c:v>
                </c:pt>
                <c:pt idx="20">
                  <c:v>76.160307350498499</c:v>
                </c:pt>
                <c:pt idx="21">
                  <c:v>70.229011761453691</c:v>
                </c:pt>
                <c:pt idx="22">
                  <c:v>75.780462024390474</c:v>
                </c:pt>
                <c:pt idx="23">
                  <c:v>81.331912287327228</c:v>
                </c:pt>
                <c:pt idx="24">
                  <c:v>86.883362550263996</c:v>
                </c:pt>
                <c:pt idx="25">
                  <c:v>92.434812813200764</c:v>
                </c:pt>
                <c:pt idx="26">
                  <c:v>97.986263076137533</c:v>
                </c:pt>
                <c:pt idx="27">
                  <c:v>103.5377133390743</c:v>
                </c:pt>
                <c:pt idx="28">
                  <c:v>109.08916360201107</c:v>
                </c:pt>
                <c:pt idx="29">
                  <c:v>114.64061386494785</c:v>
                </c:pt>
                <c:pt idx="30">
                  <c:v>120.19206412788462</c:v>
                </c:pt>
                <c:pt idx="31">
                  <c:v>125.7435143908214</c:v>
                </c:pt>
                <c:pt idx="32">
                  <c:v>131.29496465375817</c:v>
                </c:pt>
                <c:pt idx="33">
                  <c:v>136.84641491669493</c:v>
                </c:pt>
                <c:pt idx="34">
                  <c:v>142.39786517963171</c:v>
                </c:pt>
                <c:pt idx="35">
                  <c:v>147.94931544256849</c:v>
                </c:pt>
                <c:pt idx="36">
                  <c:v>153.50076570550527</c:v>
                </c:pt>
                <c:pt idx="37">
                  <c:v>159.05221596844206</c:v>
                </c:pt>
                <c:pt idx="38">
                  <c:v>164.60366623137878</c:v>
                </c:pt>
                <c:pt idx="39">
                  <c:v>170.15511649431556</c:v>
                </c:pt>
                <c:pt idx="40">
                  <c:v>175.70656675725232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177.85481099838555</c:v>
                </c:pt>
                <c:pt idx="1">
                  <c:v>151.4669403430627</c:v>
                </c:pt>
                <c:pt idx="2">
                  <c:v>138.45014608198062</c:v>
                </c:pt>
                <c:pt idx="3">
                  <c:v>129.35171375091073</c:v>
                </c:pt>
                <c:pt idx="4">
                  <c:v>122.28824480168304</c:v>
                </c:pt>
                <c:pt idx="5">
                  <c:v>116.49914867226349</c:v>
                </c:pt>
                <c:pt idx="6">
                  <c:v>111.59192012146856</c:v>
                </c:pt>
                <c:pt idx="7">
                  <c:v>107.33467600747976</c:v>
                </c:pt>
                <c:pt idx="8">
                  <c:v>103.57793150735067</c:v>
                </c:pt>
                <c:pt idx="9">
                  <c:v>100.21921300172625</c:v>
                </c:pt>
                <c:pt idx="10">
                  <c:v>97.184982540880895</c:v>
                </c:pt>
                <c:pt idx="11">
                  <c:v>94.420559231218149</c:v>
                </c:pt>
                <c:pt idx="12">
                  <c:v>91.88411262110985</c:v>
                </c:pt>
                <c:pt idx="13">
                  <c:v>89.542890055295857</c:v>
                </c:pt>
                <c:pt idx="14">
                  <c:v>87.370744284208783</c:v>
                </c:pt>
                <c:pt idx="15">
                  <c:v>85.346455205366681</c:v>
                </c:pt>
                <c:pt idx="16">
                  <c:v>83.452556431745407</c:v>
                </c:pt>
                <c:pt idx="17">
                  <c:v>81.674493822987358</c:v>
                </c:pt>
                <c:pt idx="18">
                  <c:v>80.000008732416191</c:v>
                </c:pt>
                <c:pt idx="19">
                  <c:v>78.418677245800922</c:v>
                </c:pt>
                <c:pt idx="20">
                  <c:v>76.925767607998267</c:v>
                </c:pt>
                <c:pt idx="21">
                  <c:v>83.824522211790281</c:v>
                </c:pt>
                <c:pt idx="22">
                  <c:v>91.287343305797734</c:v>
                </c:pt>
                <c:pt idx="23">
                  <c:v>98.7501643998052</c:v>
                </c:pt>
                <c:pt idx="24">
                  <c:v>106.21298549381265</c:v>
                </c:pt>
                <c:pt idx="25">
                  <c:v>113.67580658782011</c:v>
                </c:pt>
                <c:pt idx="26">
                  <c:v>121.13862768182756</c:v>
                </c:pt>
                <c:pt idx="27">
                  <c:v>128.60144877583502</c:v>
                </c:pt>
                <c:pt idx="28">
                  <c:v>136.06426986984246</c:v>
                </c:pt>
                <c:pt idx="29">
                  <c:v>143.52709096384996</c:v>
                </c:pt>
                <c:pt idx="30">
                  <c:v>150.9899120578574</c:v>
                </c:pt>
                <c:pt idx="31">
                  <c:v>158.45273315186489</c:v>
                </c:pt>
                <c:pt idx="32">
                  <c:v>165.91555424587233</c:v>
                </c:pt>
                <c:pt idx="33">
                  <c:v>173.3783753398798</c:v>
                </c:pt>
                <c:pt idx="34">
                  <c:v>180.84119643388726</c:v>
                </c:pt>
                <c:pt idx="35">
                  <c:v>188.3040175278947</c:v>
                </c:pt>
                <c:pt idx="36">
                  <c:v>195.76683862190217</c:v>
                </c:pt>
                <c:pt idx="37">
                  <c:v>203.22965971590963</c:v>
                </c:pt>
                <c:pt idx="38">
                  <c:v>210.6924808099171</c:v>
                </c:pt>
                <c:pt idx="39">
                  <c:v>218.15530190392454</c:v>
                </c:pt>
                <c:pt idx="40">
                  <c:v>225.61812299793198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199.78582466936626</c:v>
                </c:pt>
                <c:pt idx="1">
                  <c:v>160.17822935601069</c:v>
                </c:pt>
                <c:pt idx="2">
                  <c:v>146.89394303785778</c:v>
                </c:pt>
                <c:pt idx="3">
                  <c:v>137.80647574031428</c:v>
                </c:pt>
                <c:pt idx="4">
                  <c:v>130.78747070103663</c:v>
                </c:pt>
                <c:pt idx="5">
                  <c:v>125.0375217123263</c:v>
                </c:pt>
                <c:pt idx="6">
                  <c:v>120.15711446741764</c:v>
                </c:pt>
                <c:pt idx="7">
                  <c:v>115.91436253120702</c:v>
                </c:pt>
                <c:pt idx="8">
                  <c:v>112.16137855136498</c:v>
                </c:pt>
                <c:pt idx="9">
                  <c:v>108.79747933087897</c:v>
                </c:pt>
                <c:pt idx="10">
                  <c:v>105.75073652257889</c:v>
                </c:pt>
                <c:pt idx="11">
                  <c:v>102.96782372482667</c:v>
                </c:pt>
                <c:pt idx="12">
                  <c:v>100.40802370532509</c:v>
                </c:pt>
                <c:pt idx="13">
                  <c:v>98.039491770782988</c:v>
                </c:pt>
                <c:pt idx="14">
                  <c:v>95.836820658857249</c:v>
                </c:pt>
                <c:pt idx="15">
                  <c:v>93.779394781096684</c:v>
                </c:pt>
                <c:pt idx="16">
                  <c:v>91.850243448452829</c:v>
                </c:pt>
                <c:pt idx="17">
                  <c:v>90.035220733170647</c:v>
                </c:pt>
                <c:pt idx="18">
                  <c:v>88.322405626138575</c:v>
                </c:pt>
                <c:pt idx="19">
                  <c:v>86.701654655727538</c:v>
                </c:pt>
                <c:pt idx="20">
                  <c:v>85.164262430135921</c:v>
                </c:pt>
                <c:pt idx="21">
                  <c:v>75.118305452494198</c:v>
                </c:pt>
                <c:pt idx="22">
                  <c:v>69.314755307626413</c:v>
                </c:pt>
                <c:pt idx="23">
                  <c:v>73.451753735323265</c:v>
                </c:pt>
                <c:pt idx="24">
                  <c:v>77.588752163020104</c:v>
                </c:pt>
                <c:pt idx="25">
                  <c:v>81.725750590716956</c:v>
                </c:pt>
                <c:pt idx="26">
                  <c:v>85.862749018413794</c:v>
                </c:pt>
                <c:pt idx="27">
                  <c:v>89.999747446110632</c:v>
                </c:pt>
                <c:pt idx="28">
                  <c:v>94.136745873807484</c:v>
                </c:pt>
                <c:pt idx="29">
                  <c:v>98.273744301504337</c:v>
                </c:pt>
                <c:pt idx="30">
                  <c:v>102.41074272920119</c:v>
                </c:pt>
                <c:pt idx="31">
                  <c:v>106.54774115689804</c:v>
                </c:pt>
                <c:pt idx="32">
                  <c:v>110.68473958459489</c:v>
                </c:pt>
                <c:pt idx="33">
                  <c:v>114.82173801229175</c:v>
                </c:pt>
                <c:pt idx="34">
                  <c:v>118.9587364399886</c:v>
                </c:pt>
                <c:pt idx="35">
                  <c:v>123.09573486768545</c:v>
                </c:pt>
                <c:pt idx="36">
                  <c:v>127.23273329538229</c:v>
                </c:pt>
                <c:pt idx="37">
                  <c:v>131.36973172307916</c:v>
                </c:pt>
                <c:pt idx="38">
                  <c:v>135.50673015077598</c:v>
                </c:pt>
                <c:pt idx="39">
                  <c:v>139.64372857847283</c:v>
                </c:pt>
                <c:pt idx="40">
                  <c:v>143.78072700616966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Диаграмма рассогласованности </a:t>
            </a:r>
            <a:r>
              <a:rPr lang="en-US"/>
              <a:t>PVT </a:t>
            </a:r>
            <a:r>
              <a:rPr lang="ru-RU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0.90,  γo = 0.95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0.10661738597748292</c:v>
                </c:pt>
                <c:pt idx="1">
                  <c:v>0.17545597464793267</c:v>
                </c:pt>
                <c:pt idx="2">
                  <c:v>7.7370469049964169E-2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0.88,  γo new  = 0.95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0.11520173556035357</c:v>
                </c:pt>
                <c:pt idx="1">
                  <c:v>0.15949021827522999</c:v>
                </c:pt>
                <c:pt idx="2">
                  <c:v>8.8539690477160468E-2</c:v>
                </c:pt>
                <c:pt idx="3">
                  <c:v>0</c:v>
                </c:pt>
                <c:pt idx="4">
                  <c:v>2.4397205505995875E-2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Доля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0.95285696985896406</c:v>
                </c:pt>
                <c:pt idx="1">
                  <c:v>0.92971295888172611</c:v>
                </c:pt>
                <c:pt idx="2">
                  <c:v>0.90412998814661905</c:v>
                </c:pt>
                <c:pt idx="3">
                  <c:v>0.87614550400618441</c:v>
                </c:pt>
                <c:pt idx="4">
                  <c:v>0.84576647432525098</c:v>
                </c:pt>
                <c:pt idx="5">
                  <c:v>0.81298364657501854</c:v>
                </c:pt>
                <c:pt idx="6">
                  <c:v>0.77777899889197222</c:v>
                </c:pt>
                <c:pt idx="7">
                  <c:v>0.74013022725169908</c:v>
                </c:pt>
                <c:pt idx="8">
                  <c:v>0.70001376991594644</c:v>
                </c:pt>
                <c:pt idx="9">
                  <c:v>0.65740704434178787</c:v>
                </c:pt>
                <c:pt idx="10">
                  <c:v>0.6122902316674339</c:v>
                </c:pt>
                <c:pt idx="11">
                  <c:v>0.56464778641304303</c:v>
                </c:pt>
                <c:pt idx="12">
                  <c:v>0.51446976977508418</c:v>
                </c:pt>
                <c:pt idx="13">
                  <c:v>0.46175306138714567</c:v>
                </c:pt>
                <c:pt idx="14">
                  <c:v>0.40650247920415289</c:v>
                </c:pt>
                <c:pt idx="15">
                  <c:v>0.34873182155349686</c:v>
                </c:pt>
                <c:pt idx="16">
                  <c:v>0.28846483524202443</c:v>
                </c:pt>
                <c:pt idx="17">
                  <c:v>0.22573610672121452</c:v>
                </c:pt>
                <c:pt idx="18">
                  <c:v>0.16059186852120719</c:v>
                </c:pt>
                <c:pt idx="19">
                  <c:v>9.3090709827697654E-2</c:v>
                </c:pt>
                <c:pt idx="20">
                  <c:v>2.330417784551855E-2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0.95285696985896406</c:v>
                </c:pt>
                <c:pt idx="1">
                  <c:v>0.92971295888172611</c:v>
                </c:pt>
                <c:pt idx="2">
                  <c:v>0.90412998814661905</c:v>
                </c:pt>
                <c:pt idx="3">
                  <c:v>0.87614550400618441</c:v>
                </c:pt>
                <c:pt idx="4">
                  <c:v>0.84576647432525098</c:v>
                </c:pt>
                <c:pt idx="5">
                  <c:v>0.81298364657501854</c:v>
                </c:pt>
                <c:pt idx="6">
                  <c:v>0.77777899889197222</c:v>
                </c:pt>
                <c:pt idx="7">
                  <c:v>0.74013022725169908</c:v>
                </c:pt>
                <c:pt idx="8">
                  <c:v>0.70001376991594644</c:v>
                </c:pt>
                <c:pt idx="9">
                  <c:v>0.65740704434178787</c:v>
                </c:pt>
                <c:pt idx="10">
                  <c:v>0.6122902316674339</c:v>
                </c:pt>
                <c:pt idx="11">
                  <c:v>0.56464778641304303</c:v>
                </c:pt>
                <c:pt idx="12">
                  <c:v>0.51446976977508418</c:v>
                </c:pt>
                <c:pt idx="13">
                  <c:v>0.46175306138714567</c:v>
                </c:pt>
                <c:pt idx="14">
                  <c:v>0.40650247920415289</c:v>
                </c:pt>
                <c:pt idx="15">
                  <c:v>0.34873182155349686</c:v>
                </c:pt>
                <c:pt idx="16">
                  <c:v>0.28846483524202443</c:v>
                </c:pt>
                <c:pt idx="17">
                  <c:v>0.22573610672121452</c:v>
                </c:pt>
                <c:pt idx="18">
                  <c:v>0.16059186852120719</c:v>
                </c:pt>
                <c:pt idx="19">
                  <c:v>9.3090709827697654E-2</c:v>
                </c:pt>
                <c:pt idx="20">
                  <c:v>2.330417784551855E-2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0.96697858897638356</c:v>
                </c:pt>
                <c:pt idx="1">
                  <c:v>0.95180896485901012</c:v>
                </c:pt>
                <c:pt idx="2">
                  <c:v>0.93726610482551453</c:v>
                </c:pt>
                <c:pt idx="3">
                  <c:v>0.92272428055623579</c:v>
                </c:pt>
                <c:pt idx="4">
                  <c:v>0.90818380381578512</c:v>
                </c:pt>
                <c:pt idx="5">
                  <c:v>0.89366795628844398</c:v>
                </c:pt>
                <c:pt idx="6">
                  <c:v>0.87920076667579583</c:v>
                </c:pt>
                <c:pt idx="7">
                  <c:v>0.86480370895308278</c:v>
                </c:pt>
                <c:pt idx="8">
                  <c:v>0.85049536224535927</c:v>
                </c:pt>
                <c:pt idx="9">
                  <c:v>0.83629166255466625</c:v>
                </c:pt>
                <c:pt idx="10">
                  <c:v>0.82220624775894413</c:v>
                </c:pt>
                <c:pt idx="11">
                  <c:v>0.80825077917220012</c:v>
                </c:pt>
                <c:pt idx="12">
                  <c:v>0.79443521668643791</c:v>
                </c:pt>
                <c:pt idx="13">
                  <c:v>0.78076804883789996</c:v>
                </c:pt>
                <c:pt idx="14">
                  <c:v>0.7672564846620693</c:v>
                </c:pt>
                <c:pt idx="15">
                  <c:v>0.75390661446784413</c:v>
                </c:pt>
                <c:pt idx="16">
                  <c:v>0.74072354560576559</c:v>
                </c:pt>
                <c:pt idx="17">
                  <c:v>0.72771151809308299</c:v>
                </c:pt>
                <c:pt idx="18">
                  <c:v>0.71487400390643085</c:v>
                </c:pt>
                <c:pt idx="19">
                  <c:v>0.7022137929145873</c:v>
                </c:pt>
                <c:pt idx="20">
                  <c:v>0.68973306777676247</c:v>
                </c:pt>
                <c:pt idx="21">
                  <c:v>0.34136183895570577</c:v>
                </c:pt>
                <c:pt idx="22">
                  <c:v>0.16295321673883853</c:v>
                </c:pt>
                <c:pt idx="23">
                  <c:v>6.7484037435745658E-2</c:v>
                </c:pt>
                <c:pt idx="24">
                  <c:v>1.340278531692151E-2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7.86307053943428E-3</c:v>
                </c:pt>
                <c:pt idx="3">
                  <c:v>1.1668662674640088E-2</c:v>
                </c:pt>
                <c:pt idx="4">
                  <c:v>8.0122100122084122E-2</c:v>
                </c:pt>
                <c:pt idx="5">
                  <c:v>3.016101694915275</c:v>
                </c:pt>
                <c:pt idx="6">
                  <c:v>15.051179976162073</c:v>
                </c:pt>
                <c:pt idx="7">
                  <c:v>46.44346057046976</c:v>
                </c:pt>
                <c:pt idx="8">
                  <c:v>97.445298289528594</c:v>
                </c:pt>
                <c:pt idx="9">
                  <c:v>175.19984608807187</c:v>
                </c:pt>
                <c:pt idx="10">
                  <c:v>275.00345696291112</c:v>
                </c:pt>
                <c:pt idx="11">
                  <c:v>375.11685734463276</c:v>
                </c:pt>
                <c:pt idx="12">
                  <c:v>484.78049999999996</c:v>
                </c:pt>
                <c:pt idx="13">
                  <c:v>594.78874722016303</c:v>
                </c:pt>
                <c:pt idx="14">
                  <c:v>704.8859409594096</c:v>
                </c:pt>
                <c:pt idx="15">
                  <c:v>814.9342163355409</c:v>
                </c:pt>
                <c:pt idx="16">
                  <c:v>925.01831111111107</c:v>
                </c:pt>
                <c:pt idx="17">
                  <c:v>1035.0249798115747</c:v>
                </c:pt>
                <c:pt idx="18">
                  <c:v>1145.2222533333334</c:v>
                </c:pt>
                <c:pt idx="19">
                  <c:v>1255.2833602693602</c:v>
                </c:pt>
                <c:pt idx="20">
                  <c:v>1366.83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110.25</c:v>
                </c:pt>
                <c:pt idx="2">
                  <c:v>220.49213692946057</c:v>
                </c:pt>
                <c:pt idx="3">
                  <c:v>330.73833133732535</c:v>
                </c:pt>
                <c:pt idx="4">
                  <c:v>440.91987789987792</c:v>
                </c:pt>
                <c:pt idx="5">
                  <c:v>548.23389830508472</c:v>
                </c:pt>
                <c:pt idx="6">
                  <c:v>646.44882002383792</c:v>
                </c:pt>
                <c:pt idx="7">
                  <c:v>725.30653942953029</c:v>
                </c:pt>
                <c:pt idx="8">
                  <c:v>784.55470171047136</c:v>
                </c:pt>
                <c:pt idx="9">
                  <c:v>817.05015391192819</c:v>
                </c:pt>
                <c:pt idx="10">
                  <c:v>827.49654303708894</c:v>
                </c:pt>
                <c:pt idx="11">
                  <c:v>837.63314265536724</c:v>
                </c:pt>
                <c:pt idx="12">
                  <c:v>838.21950000000004</c:v>
                </c:pt>
                <c:pt idx="13">
                  <c:v>838.46125277983697</c:v>
                </c:pt>
                <c:pt idx="14">
                  <c:v>838.6140590405904</c:v>
                </c:pt>
                <c:pt idx="15">
                  <c:v>838.8157836644591</c:v>
                </c:pt>
                <c:pt idx="16">
                  <c:v>838.98168888888893</c:v>
                </c:pt>
                <c:pt idx="17">
                  <c:v>839.22502018842533</c:v>
                </c:pt>
                <c:pt idx="18">
                  <c:v>839.27774666666664</c:v>
                </c:pt>
                <c:pt idx="19">
                  <c:v>839.46663973063971</c:v>
                </c:pt>
                <c:pt idx="20">
                  <c:v>838.17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0</c:v>
                </c:pt>
                <c:pt idx="1">
                  <c:v>0.79999999999999993</c:v>
                </c:pt>
                <c:pt idx="2">
                  <c:v>1.5999999999999999</c:v>
                </c:pt>
                <c:pt idx="3">
                  <c:v>2.4</c:v>
                </c:pt>
                <c:pt idx="4">
                  <c:v>3.1999999999999997</c:v>
                </c:pt>
                <c:pt idx="5">
                  <c:v>4</c:v>
                </c:pt>
                <c:pt idx="6">
                  <c:v>4.8</c:v>
                </c:pt>
                <c:pt idx="7">
                  <c:v>5.6</c:v>
                </c:pt>
                <c:pt idx="8">
                  <c:v>6.3999999999999995</c:v>
                </c:pt>
                <c:pt idx="9">
                  <c:v>7.2</c:v>
                </c:pt>
                <c:pt idx="10">
                  <c:v>8</c:v>
                </c:pt>
                <c:pt idx="11">
                  <c:v>8.8000000000000007</c:v>
                </c:pt>
                <c:pt idx="12">
                  <c:v>9.6</c:v>
                </c:pt>
                <c:pt idx="13">
                  <c:v>10.399999999999999</c:v>
                </c:pt>
                <c:pt idx="14">
                  <c:v>11.2</c:v>
                </c:pt>
                <c:pt idx="15">
                  <c:v>12</c:v>
                </c:pt>
                <c:pt idx="16">
                  <c:v>12.799999999999999</c:v>
                </c:pt>
                <c:pt idx="17">
                  <c:v>13.6</c:v>
                </c:pt>
                <c:pt idx="18">
                  <c:v>14.4</c:v>
                </c:pt>
                <c:pt idx="19">
                  <c:v>15.2</c:v>
                </c:pt>
                <c:pt idx="20">
                  <c:v>16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41.908499999999997</c:v>
                </c:pt>
                <c:pt idx="2">
                  <c:v>83.816999999999993</c:v>
                </c:pt>
                <c:pt idx="3">
                  <c:v>125.72549999999998</c:v>
                </c:pt>
                <c:pt idx="4">
                  <c:v>167.63399999999999</c:v>
                </c:pt>
                <c:pt idx="5">
                  <c:v>209.54249999999999</c:v>
                </c:pt>
                <c:pt idx="6">
                  <c:v>251.45099999999996</c:v>
                </c:pt>
                <c:pt idx="7">
                  <c:v>293.35949999999997</c:v>
                </c:pt>
                <c:pt idx="8">
                  <c:v>335.26799999999997</c:v>
                </c:pt>
                <c:pt idx="9">
                  <c:v>377.17649999999998</c:v>
                </c:pt>
                <c:pt idx="10">
                  <c:v>419.08499999999998</c:v>
                </c:pt>
                <c:pt idx="11">
                  <c:v>460.99349999999998</c:v>
                </c:pt>
                <c:pt idx="12">
                  <c:v>502.90199999999993</c:v>
                </c:pt>
                <c:pt idx="13">
                  <c:v>544.81049999999993</c:v>
                </c:pt>
                <c:pt idx="14">
                  <c:v>586.71899999999994</c:v>
                </c:pt>
                <c:pt idx="15">
                  <c:v>628.62749999999994</c:v>
                </c:pt>
                <c:pt idx="16">
                  <c:v>670.53599999999994</c:v>
                </c:pt>
                <c:pt idx="17">
                  <c:v>712.44449999999995</c:v>
                </c:pt>
                <c:pt idx="18">
                  <c:v>754.35299999999995</c:v>
                </c:pt>
                <c:pt idx="19">
                  <c:v>796.26149999999996</c:v>
                </c:pt>
                <c:pt idx="20">
                  <c:v>838.17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159</c:v>
                </c:pt>
                <c:pt idx="1">
                  <c:v>159</c:v>
                </c:pt>
                <c:pt idx="2">
                  <c:v>159</c:v>
                </c:pt>
                <c:pt idx="3">
                  <c:v>159</c:v>
                </c:pt>
                <c:pt idx="4">
                  <c:v>159</c:v>
                </c:pt>
                <c:pt idx="5">
                  <c:v>159</c:v>
                </c:pt>
                <c:pt idx="6">
                  <c:v>159</c:v>
                </c:pt>
                <c:pt idx="7">
                  <c:v>159</c:v>
                </c:pt>
                <c:pt idx="8">
                  <c:v>159</c:v>
                </c:pt>
                <c:pt idx="9">
                  <c:v>159</c:v>
                </c:pt>
                <c:pt idx="10">
                  <c:v>159</c:v>
                </c:pt>
                <c:pt idx="11">
                  <c:v>159</c:v>
                </c:pt>
                <c:pt idx="12">
                  <c:v>159</c:v>
                </c:pt>
                <c:pt idx="13">
                  <c:v>159</c:v>
                </c:pt>
                <c:pt idx="14">
                  <c:v>159</c:v>
                </c:pt>
                <c:pt idx="15">
                  <c:v>159</c:v>
                </c:pt>
                <c:pt idx="16">
                  <c:v>159</c:v>
                </c:pt>
                <c:pt idx="17">
                  <c:v>159</c:v>
                </c:pt>
                <c:pt idx="18">
                  <c:v>159</c:v>
                </c:pt>
                <c:pt idx="19">
                  <c:v>159</c:v>
                </c:pt>
                <c:pt idx="20">
                  <c:v>159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116.05263157894737</c:v>
                </c:pt>
                <c:pt idx="2">
                  <c:v>232.10526315789474</c:v>
                </c:pt>
                <c:pt idx="3">
                  <c:v>348.15789473684208</c:v>
                </c:pt>
                <c:pt idx="4">
                  <c:v>464.21052631578948</c:v>
                </c:pt>
                <c:pt idx="5">
                  <c:v>580.26315789473688</c:v>
                </c:pt>
                <c:pt idx="6">
                  <c:v>696.31578947368416</c:v>
                </c:pt>
                <c:pt idx="7">
                  <c:v>812.36842105263156</c:v>
                </c:pt>
                <c:pt idx="8">
                  <c:v>928.42105263157896</c:v>
                </c:pt>
                <c:pt idx="9">
                  <c:v>1044.4736842105262</c:v>
                </c:pt>
                <c:pt idx="10">
                  <c:v>1160.5263157894738</c:v>
                </c:pt>
                <c:pt idx="11">
                  <c:v>1276.578947368421</c:v>
                </c:pt>
                <c:pt idx="12">
                  <c:v>1392.6315789473683</c:v>
                </c:pt>
                <c:pt idx="13">
                  <c:v>1508.6842105263158</c:v>
                </c:pt>
                <c:pt idx="14">
                  <c:v>1624.7368421052631</c:v>
                </c:pt>
                <c:pt idx="15">
                  <c:v>1740.7894736842106</c:v>
                </c:pt>
                <c:pt idx="16">
                  <c:v>1856.8421052631579</c:v>
                </c:pt>
                <c:pt idx="17">
                  <c:v>1972.8947368421052</c:v>
                </c:pt>
                <c:pt idx="18">
                  <c:v>2088.9473684210525</c:v>
                </c:pt>
                <c:pt idx="19">
                  <c:v>2204.9899999999998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43.684210526315788</c:v>
                </c:pt>
                <c:pt idx="2">
                  <c:v>87.368421052631575</c:v>
                </c:pt>
                <c:pt idx="3">
                  <c:v>131.05263157894737</c:v>
                </c:pt>
                <c:pt idx="4">
                  <c:v>174.73684210526315</c:v>
                </c:pt>
                <c:pt idx="5">
                  <c:v>218.42105263157893</c:v>
                </c:pt>
                <c:pt idx="6">
                  <c:v>262.10526315789474</c:v>
                </c:pt>
                <c:pt idx="7">
                  <c:v>305.78947368421052</c:v>
                </c:pt>
                <c:pt idx="8">
                  <c:v>349.4736842105263</c:v>
                </c:pt>
                <c:pt idx="9">
                  <c:v>393.15789473684208</c:v>
                </c:pt>
                <c:pt idx="10">
                  <c:v>436.84210526315786</c:v>
                </c:pt>
                <c:pt idx="11">
                  <c:v>480.52631578947364</c:v>
                </c:pt>
                <c:pt idx="12">
                  <c:v>524.21052631578948</c:v>
                </c:pt>
                <c:pt idx="13">
                  <c:v>567.8947368421052</c:v>
                </c:pt>
                <c:pt idx="14">
                  <c:v>611.57894736842104</c:v>
                </c:pt>
                <c:pt idx="15">
                  <c:v>655.26315789473676</c:v>
                </c:pt>
                <c:pt idx="16">
                  <c:v>698.9473684210526</c:v>
                </c:pt>
                <c:pt idx="17">
                  <c:v>742.63157894736844</c:v>
                </c:pt>
                <c:pt idx="18">
                  <c:v>786.31578947368416</c:v>
                </c:pt>
                <c:pt idx="19">
                  <c:v>829.99</c:v>
                </c:pt>
                <c:pt idx="2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Напор и КПД для данного насоса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1423.0003437835012</c:v>
                </c:pt>
                <c:pt idx="1">
                  <c:v>1383.8725406895796</c:v>
                </c:pt>
                <c:pt idx="2">
                  <c:v>1349.4367335272127</c:v>
                </c:pt>
                <c:pt idx="3">
                  <c:v>1317.3620106927963</c:v>
                </c:pt>
                <c:pt idx="4">
                  <c:v>1285.8138918932718</c:v>
                </c:pt>
                <c:pt idx="5">
                  <c:v>1253.4000721614057</c:v>
                </c:pt>
                <c:pt idx="6">
                  <c:v>1219.1174610091182</c:v>
                </c:pt>
                <c:pt idx="7">
                  <c:v>1182.3005167188603</c:v>
                </c:pt>
                <c:pt idx="8">
                  <c:v>1142.5708757730411</c:v>
                </c:pt>
                <c:pt idx="9">
                  <c:v>1099.7882774215025</c:v>
                </c:pt>
                <c:pt idx="10">
                  <c:v>1046.4912668069258</c:v>
                </c:pt>
                <c:pt idx="11">
                  <c:v>988.90817680095449</c:v>
                </c:pt>
                <c:pt idx="12">
                  <c:v>931.21873682918556</c:v>
                </c:pt>
                <c:pt idx="13">
                  <c:v>873.92497310683802</c:v>
                </c:pt>
                <c:pt idx="14">
                  <c:v>815.46127407313293</c:v>
                </c:pt>
                <c:pt idx="15">
                  <c:v>756.18580000096404</c:v>
                </c:pt>
                <c:pt idx="16">
                  <c:v>696.38373979478058</c:v>
                </c:pt>
                <c:pt idx="17">
                  <c:v>636.23262833671288</c:v>
                </c:pt>
                <c:pt idx="18">
                  <c:v>575.77038413970934</c:v>
                </c:pt>
                <c:pt idx="19">
                  <c:v>514.86606730766721</c:v>
                </c:pt>
                <c:pt idx="20">
                  <c:v>453.19335780257569</c:v>
                </c:pt>
                <c:pt idx="21">
                  <c:v>390.20675401865321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E9B-4275-957A-37903C37FFAC}"/>
            </c:ext>
          </c:extLst>
        </c:ser>
        <c:ser>
          <c:idx val="0"/>
          <c:order val="2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УЭЦН!$O$8:$O$29</c:f>
              <c:numCache>
                <c:formatCode>General</c:formatCode>
                <c:ptCount val="22"/>
                <c:pt idx="0">
                  <c:v>1466.1658504620191</c:v>
                </c:pt>
                <c:pt idx="1">
                  <c:v>1435.7342473006936</c:v>
                </c:pt>
                <c:pt idx="2">
                  <c:v>1409.2513592060304</c:v>
                </c:pt>
                <c:pt idx="3">
                  <c:v>1384.9009382232398</c:v>
                </c:pt>
                <c:pt idx="4">
                  <c:v>1361.1922954176353</c:v>
                </c:pt>
                <c:pt idx="5">
                  <c:v>1336.9325888207607</c:v>
                </c:pt>
                <c:pt idx="6">
                  <c:v>1311.1991113765134</c:v>
                </c:pt>
                <c:pt idx="7">
                  <c:v>1283.3115788872694</c:v>
                </c:pt>
                <c:pt idx="8">
                  <c:v>1252.804417960007</c:v>
                </c:pt>
                <c:pt idx="9">
                  <c:v>1219.399053952432</c:v>
                </c:pt>
                <c:pt idx="10">
                  <c:v>1182.9761989191024</c:v>
                </c:pt>
                <c:pt idx="11">
                  <c:v>1143.5481395575514</c:v>
                </c:pt>
                <c:pt idx="12">
                  <c:v>1101.2310251544136</c:v>
                </c:pt>
                <c:pt idx="13">
                  <c:v>1056.217155531549</c:v>
                </c:pt>
                <c:pt idx="14">
                  <c:v>1008.7472689921658</c:v>
                </c:pt>
                <c:pt idx="15">
                  <c:v>959.08283026694778</c:v>
                </c:pt>
                <c:pt idx="16">
                  <c:v>907.47831846017618</c:v>
                </c:pt>
                <c:pt idx="17">
                  <c:v>854.15351499585699</c:v>
                </c:pt>
                <c:pt idx="18">
                  <c:v>799.26579156384093</c:v>
                </c:pt>
                <c:pt idx="19">
                  <c:v>742.88239806595402</c:v>
                </c:pt>
                <c:pt idx="20">
                  <c:v>684.95275056211574</c:v>
                </c:pt>
                <c:pt idx="21">
                  <c:v>395.06921972774785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E9B-4275-957A-37903C37F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3"/>
          <c:order val="1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4.2018636325146389E-3</c:v>
                </c:pt>
                <c:pt idx="1">
                  <c:v>6.2804778508766271E-2</c:v>
                </c:pt>
                <c:pt idx="2">
                  <c:v>0.11685847176255383</c:v>
                </c:pt>
                <c:pt idx="3">
                  <c:v>0.16616658764540124</c:v>
                </c:pt>
                <c:pt idx="4">
                  <c:v>0.21065446314618291</c:v>
                </c:pt>
                <c:pt idx="5">
                  <c:v>0.25034879991204928</c:v>
                </c:pt>
                <c:pt idx="6">
                  <c:v>0.28535733616935149</c:v>
                </c:pt>
                <c:pt idx="7">
                  <c:v>0.31584851864456687</c:v>
                </c:pt>
                <c:pt idx="8">
                  <c:v>0.34203117448522374</c:v>
                </c:pt>
                <c:pt idx="9">
                  <c:v>0.36413418318082658</c:v>
                </c:pt>
                <c:pt idx="10">
                  <c:v>0.38238614848378139</c:v>
                </c:pt>
                <c:pt idx="11">
                  <c:v>0.39699507033032022</c:v>
                </c:pt>
                <c:pt idx="12">
                  <c:v>0.40812801676142701</c:v>
                </c:pt>
                <c:pt idx="13">
                  <c:v>0.41589079584376187</c:v>
                </c:pt>
                <c:pt idx="14">
                  <c:v>0.42030762759058737</c:v>
                </c:pt>
                <c:pt idx="15">
                  <c:v>0.42130081588269208</c:v>
                </c:pt>
                <c:pt idx="16">
                  <c:v>0.41867042038931668</c:v>
                </c:pt>
                <c:pt idx="17">
                  <c:v>0.41207392848907937</c:v>
                </c:pt>
                <c:pt idx="18">
                  <c:v>0.40100592719090022</c:v>
                </c:pt>
                <c:pt idx="19">
                  <c:v>0.38477777505492566</c:v>
                </c:pt>
                <c:pt idx="20">
                  <c:v>0.36249727411345584</c:v>
                </c:pt>
                <c:pt idx="21">
                  <c:v>0.3330483417918676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E9B-4275-957A-37903C37FFAC}"/>
            </c:ext>
          </c:extLst>
        </c:ser>
        <c:ser>
          <c:idx val="1"/>
          <c:order val="3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УЭЦН!$Q$8:$Q$29</c:f>
              <c:numCache>
                <c:formatCode>General</c:formatCode>
                <c:ptCount val="22"/>
                <c:pt idx="0">
                  <c:v>6.5251547677530166E-3</c:v>
                </c:pt>
                <c:pt idx="1">
                  <c:v>9.7935427543075507E-2</c:v>
                </c:pt>
                <c:pt idx="2">
                  <c:v>0.18297772611658739</c:v>
                </c:pt>
                <c:pt idx="3">
                  <c:v>0.26137713925827116</c:v>
                </c:pt>
                <c:pt idx="4">
                  <c:v>0.33300393689004698</c:v>
                </c:pt>
                <c:pt idx="5">
                  <c:v>0.39785228821193758</c:v>
                </c:pt>
                <c:pt idx="6">
                  <c:v>0.45601897982823331</c:v>
                </c:pt>
                <c:pt idx="7">
                  <c:v>0.50768213387365813</c:v>
                </c:pt>
                <c:pt idx="8">
                  <c:v>0.55307992613953483</c:v>
                </c:pt>
                <c:pt idx="9">
                  <c:v>0.59248930419994972</c:v>
                </c:pt>
                <c:pt idx="10">
                  <c:v>0.6262047055379184</c:v>
                </c:pt>
                <c:pt idx="11">
                  <c:v>0.65451677567155109</c:v>
                </c:pt>
                <c:pt idx="12">
                  <c:v>0.67769108628021713</c:v>
                </c:pt>
                <c:pt idx="13">
                  <c:v>0.6959468533307116</c:v>
                </c:pt>
                <c:pt idx="14">
                  <c:v>0.70943565520341989</c:v>
                </c:pt>
                <c:pt idx="15">
                  <c:v>0.71822015081848323</c:v>
                </c:pt>
                <c:pt idx="16">
                  <c:v>0.72225279776196305</c:v>
                </c:pt>
                <c:pt idx="17">
                  <c:v>0.72135457041200812</c:v>
                </c:pt>
                <c:pt idx="18">
                  <c:v>0.71519367806501777</c:v>
                </c:pt>
                <c:pt idx="19">
                  <c:v>0.70326428306180921</c:v>
                </c:pt>
                <c:pt idx="20">
                  <c:v>0.68486521891378072</c:v>
                </c:pt>
                <c:pt idx="21">
                  <c:v>0.65907870842907912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E9B-4275-957A-37903C37F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КПД, ед.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 sz="14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Мощность для данного насоса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48.1504503568991</c:v>
                </c:pt>
                <c:pt idx="1">
                  <c:v>47.457905914418042</c:v>
                </c:pt>
                <c:pt idx="2">
                  <c:v>47.091922427734453</c:v>
                </c:pt>
                <c:pt idx="3">
                  <c:v>47.069455360532757</c:v>
                </c:pt>
                <c:pt idx="4">
                  <c:v>47.382460051277867</c:v>
                </c:pt>
                <c:pt idx="5">
                  <c:v>48.001782667368644</c:v>
                </c:pt>
                <c:pt idx="6">
                  <c:v>48.881051159291196</c:v>
                </c:pt>
                <c:pt idx="7">
                  <c:v>49.960566214772264</c:v>
                </c:pt>
                <c:pt idx="8">
                  <c:v>51.171192212932503</c:v>
                </c:pt>
                <c:pt idx="9">
                  <c:v>52.438248178439927</c:v>
                </c:pt>
                <c:pt idx="10">
                  <c:v>53.685398735663185</c:v>
                </c:pt>
                <c:pt idx="11">
                  <c:v>54.838545062824913</c:v>
                </c:pt>
                <c:pt idx="12">
                  <c:v>55.829715846155167</c:v>
                </c:pt>
                <c:pt idx="13">
                  <c:v>56.600958234044668</c:v>
                </c:pt>
                <c:pt idx="14">
                  <c:v>57.108228791198165</c:v>
                </c:pt>
                <c:pt idx="15">
                  <c:v>57.325284452787876</c:v>
                </c:pt>
                <c:pt idx="16">
                  <c:v>57.24757347860676</c:v>
                </c:pt>
                <c:pt idx="17">
                  <c:v>56.896126407221878</c:v>
                </c:pt>
                <c:pt idx="18">
                  <c:v>56.32144701012777</c:v>
                </c:pt>
                <c:pt idx="19">
                  <c:v>55.607403245899761</c:v>
                </c:pt>
                <c:pt idx="20">
                  <c:v>54.875118214347289</c:v>
                </c:pt>
                <c:pt idx="21">
                  <c:v>54.286861110667289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1D-49AB-9D90-D699B3AB9A62}"/>
            </c:ext>
          </c:extLst>
        </c:ser>
        <c:ser>
          <c:idx val="0"/>
          <c:order val="1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УЭЦН!$P$8:$P$29</c:f>
              <c:numCache>
                <c:formatCode>General</c:formatCode>
                <c:ptCount val="22"/>
                <c:pt idx="0">
                  <c:v>28.085467099934462</c:v>
                </c:pt>
                <c:pt idx="1">
                  <c:v>27.710631858165417</c:v>
                </c:pt>
                <c:pt idx="2">
                  <c:v>27.49080496812876</c:v>
                </c:pt>
                <c:pt idx="3">
                  <c:v>27.435045632388704</c:v>
                </c:pt>
                <c:pt idx="4">
                  <c:v>27.542289867893231</c:v>
                </c:pt>
                <c:pt idx="5">
                  <c:v>27.802736090374705</c:v>
                </c:pt>
                <c:pt idx="6">
                  <c:v>28.199230698750522</c:v>
                </c:pt>
                <c:pt idx="7">
                  <c:v>28.708653659523737</c:v>
                </c:pt>
                <c:pt idx="8">
                  <c:v>29.303304091183694</c:v>
                </c:pt>
                <c:pt idx="9">
                  <c:v>29.952285848606643</c:v>
                </c:pt>
                <c:pt idx="10">
                  <c:v>30.622893107456409</c:v>
                </c:pt>
                <c:pt idx="11">
                  <c:v>31.281995948584981</c:v>
                </c:pt>
                <c:pt idx="12">
                  <c:v>31.897425942433181</c:v>
                </c:pt>
                <c:pt idx="13">
                  <c:v>32.439361733431262</c:v>
                </c:pt>
                <c:pt idx="14">
                  <c:v>32.881714624399578</c:v>
                </c:pt>
                <c:pt idx="15">
                  <c:v>33.203514160949183</c:v>
                </c:pt>
                <c:pt idx="16">
                  <c:v>33.390293715882464</c:v>
                </c:pt>
                <c:pt idx="17">
                  <c:v>33.435476073593804</c:v>
                </c:pt>
                <c:pt idx="18">
                  <c:v>33.341759014470199</c:v>
                </c:pt>
                <c:pt idx="19">
                  <c:v>33.122500899291815</c:v>
                </c:pt>
                <c:pt idx="20">
                  <c:v>32.803106253632805</c:v>
                </c:pt>
                <c:pt idx="21">
                  <c:v>32.422411352261761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1D-49AB-9D90-D699B3AB9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Мощность,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9414145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 sz="14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</a:t>
            </a:r>
            <a:r>
              <a:rPr lang="ru-RU" baseline="0"/>
              <a:t> вязкости (с</a:t>
            </a:r>
            <a:r>
              <a:rPr lang="en-US" baseline="0"/>
              <a:t>St)</a:t>
            </a:r>
            <a:r>
              <a:rPr lang="ru-RU" baseline="0"/>
              <a:t> на мощность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УЭЦН!$I$6</c:f>
              <c:strCache>
                <c:ptCount val="1"/>
                <c:pt idx="0">
                  <c:v>#ЗНАЧ!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48.1504503568991</c:v>
                </c:pt>
                <c:pt idx="1">
                  <c:v>47.457905914418042</c:v>
                </c:pt>
                <c:pt idx="2">
                  <c:v>47.091922427734453</c:v>
                </c:pt>
                <c:pt idx="3">
                  <c:v>47.069455360532757</c:v>
                </c:pt>
                <c:pt idx="4">
                  <c:v>47.382460051277867</c:v>
                </c:pt>
                <c:pt idx="5">
                  <c:v>48.001782667368644</c:v>
                </c:pt>
                <c:pt idx="6">
                  <c:v>48.881051159291196</c:v>
                </c:pt>
                <c:pt idx="7">
                  <c:v>49.960566214772264</c:v>
                </c:pt>
                <c:pt idx="8">
                  <c:v>51.171192212932503</c:v>
                </c:pt>
                <c:pt idx="9">
                  <c:v>52.438248178439927</c:v>
                </c:pt>
                <c:pt idx="10">
                  <c:v>53.685398735663185</c:v>
                </c:pt>
                <c:pt idx="11">
                  <c:v>54.838545062824913</c:v>
                </c:pt>
                <c:pt idx="12">
                  <c:v>55.829715846155167</c:v>
                </c:pt>
                <c:pt idx="13">
                  <c:v>56.600958234044668</c:v>
                </c:pt>
                <c:pt idx="14">
                  <c:v>57.108228791198165</c:v>
                </c:pt>
                <c:pt idx="15">
                  <c:v>57.325284452787876</c:v>
                </c:pt>
                <c:pt idx="16">
                  <c:v>57.24757347860676</c:v>
                </c:pt>
                <c:pt idx="17">
                  <c:v>56.896126407221878</c:v>
                </c:pt>
                <c:pt idx="18">
                  <c:v>56.32144701012777</c:v>
                </c:pt>
                <c:pt idx="19">
                  <c:v>55.607403245899761</c:v>
                </c:pt>
                <c:pt idx="20">
                  <c:v>54.875118214347289</c:v>
                </c:pt>
                <c:pt idx="21">
                  <c:v>54.286861110667289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E0-408D-B2C6-AC2CA8100BF3}"/>
            </c:ext>
          </c:extLst>
        </c:ser>
        <c:ser>
          <c:idx val="1"/>
          <c:order val="1"/>
          <c:tx>
            <c:strRef>
              <c:f>УЭЦН!$L$6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УЭЦН!$M$8:$M$29</c:f>
              <c:numCache>
                <c:formatCode>General</c:formatCode>
                <c:ptCount val="22"/>
                <c:pt idx="0">
                  <c:v>48.1504503568991</c:v>
                </c:pt>
                <c:pt idx="1">
                  <c:v>47.457905914418042</c:v>
                </c:pt>
                <c:pt idx="2">
                  <c:v>47.091922427734453</c:v>
                </c:pt>
                <c:pt idx="3">
                  <c:v>47.069455360532757</c:v>
                </c:pt>
                <c:pt idx="4">
                  <c:v>47.382460051277867</c:v>
                </c:pt>
                <c:pt idx="5">
                  <c:v>48.001782667368644</c:v>
                </c:pt>
                <c:pt idx="6">
                  <c:v>48.881051159291196</c:v>
                </c:pt>
                <c:pt idx="7">
                  <c:v>49.960566214772264</c:v>
                </c:pt>
                <c:pt idx="8">
                  <c:v>51.171192212932503</c:v>
                </c:pt>
                <c:pt idx="9">
                  <c:v>52.438248178439927</c:v>
                </c:pt>
                <c:pt idx="10">
                  <c:v>53.685398735663185</c:v>
                </c:pt>
                <c:pt idx="11">
                  <c:v>54.838545062824913</c:v>
                </c:pt>
                <c:pt idx="12">
                  <c:v>55.829715846155167</c:v>
                </c:pt>
                <c:pt idx="13">
                  <c:v>56.600958234044668</c:v>
                </c:pt>
                <c:pt idx="14">
                  <c:v>57.108228791198165</c:v>
                </c:pt>
                <c:pt idx="15">
                  <c:v>57.325284452787876</c:v>
                </c:pt>
                <c:pt idx="16">
                  <c:v>57.24757347860676</c:v>
                </c:pt>
                <c:pt idx="17">
                  <c:v>56.896126407221878</c:v>
                </c:pt>
                <c:pt idx="18">
                  <c:v>56.32144701012777</c:v>
                </c:pt>
                <c:pt idx="19">
                  <c:v>55.607403245899761</c:v>
                </c:pt>
                <c:pt idx="20">
                  <c:v>54.875118214347289</c:v>
                </c:pt>
                <c:pt idx="21">
                  <c:v>54.286861110667289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E0-408D-B2C6-AC2CA8100BF3}"/>
            </c:ext>
          </c:extLst>
        </c:ser>
        <c:ser>
          <c:idx val="2"/>
          <c:order val="2"/>
          <c:tx>
            <c:strRef>
              <c:f>УЭЦН!$O$6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УЭЦН!$P$8:$P$29</c:f>
              <c:numCache>
                <c:formatCode>General</c:formatCode>
                <c:ptCount val="22"/>
                <c:pt idx="0">
                  <c:v>28.085467099934462</c:v>
                </c:pt>
                <c:pt idx="1">
                  <c:v>27.710631858165417</c:v>
                </c:pt>
                <c:pt idx="2">
                  <c:v>27.49080496812876</c:v>
                </c:pt>
                <c:pt idx="3">
                  <c:v>27.435045632388704</c:v>
                </c:pt>
                <c:pt idx="4">
                  <c:v>27.542289867893231</c:v>
                </c:pt>
                <c:pt idx="5">
                  <c:v>27.802736090374705</c:v>
                </c:pt>
                <c:pt idx="6">
                  <c:v>28.199230698750522</c:v>
                </c:pt>
                <c:pt idx="7">
                  <c:v>28.708653659523737</c:v>
                </c:pt>
                <c:pt idx="8">
                  <c:v>29.303304091183694</c:v>
                </c:pt>
                <c:pt idx="9">
                  <c:v>29.952285848606643</c:v>
                </c:pt>
                <c:pt idx="10">
                  <c:v>30.622893107456409</c:v>
                </c:pt>
                <c:pt idx="11">
                  <c:v>31.281995948584981</c:v>
                </c:pt>
                <c:pt idx="12">
                  <c:v>31.897425942433181</c:v>
                </c:pt>
                <c:pt idx="13">
                  <c:v>32.439361733431262</c:v>
                </c:pt>
                <c:pt idx="14">
                  <c:v>32.881714624399578</c:v>
                </c:pt>
                <c:pt idx="15">
                  <c:v>33.203514160949183</c:v>
                </c:pt>
                <c:pt idx="16">
                  <c:v>33.390293715882464</c:v>
                </c:pt>
                <c:pt idx="17">
                  <c:v>33.435476073593804</c:v>
                </c:pt>
                <c:pt idx="18">
                  <c:v>33.341759014470199</c:v>
                </c:pt>
                <c:pt idx="19">
                  <c:v>33.122500899291815</c:v>
                </c:pt>
                <c:pt idx="20">
                  <c:v>32.803106253632805</c:v>
                </c:pt>
                <c:pt idx="21">
                  <c:v>32.422411352261761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E0-408D-B2C6-AC2CA8100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</a:t>
                </a:r>
                <a:r>
                  <a:rPr lang="ru-RU" baseline="0"/>
                  <a:t>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</a:t>
            </a:r>
            <a:r>
              <a:rPr lang="ru-RU" baseline="0"/>
              <a:t> вязкости (с</a:t>
            </a:r>
            <a:r>
              <a:rPr lang="en-US" baseline="0"/>
              <a:t>St)</a:t>
            </a:r>
            <a:r>
              <a:rPr lang="ru-RU" baseline="0"/>
              <a:t> на напор</a:t>
            </a:r>
          </a:p>
        </c:rich>
      </c:tx>
      <c:layout>
        <c:manualLayout>
          <c:xMode val="edge"/>
          <c:yMode val="edge"/>
          <c:x val="0.21737379459099018"/>
          <c:y val="3.75917872304842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УЭЦН!$I$6</c:f>
              <c:strCache>
                <c:ptCount val="1"/>
                <c:pt idx="0">
                  <c:v>#ЗНАЧ!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1423.0003437835012</c:v>
                </c:pt>
                <c:pt idx="1">
                  <c:v>1383.8725406895796</c:v>
                </c:pt>
                <c:pt idx="2">
                  <c:v>1349.4367335272127</c:v>
                </c:pt>
                <c:pt idx="3">
                  <c:v>1317.3620106927963</c:v>
                </c:pt>
                <c:pt idx="4">
                  <c:v>1285.8138918932718</c:v>
                </c:pt>
                <c:pt idx="5">
                  <c:v>1253.4000721614057</c:v>
                </c:pt>
                <c:pt idx="6">
                  <c:v>1219.1174610091182</c:v>
                </c:pt>
                <c:pt idx="7">
                  <c:v>1182.3005167188603</c:v>
                </c:pt>
                <c:pt idx="8">
                  <c:v>1142.5708757730411</c:v>
                </c:pt>
                <c:pt idx="9">
                  <c:v>1099.7882774215025</c:v>
                </c:pt>
                <c:pt idx="10">
                  <c:v>1046.4912668069258</c:v>
                </c:pt>
                <c:pt idx="11">
                  <c:v>988.90817680095449</c:v>
                </c:pt>
                <c:pt idx="12">
                  <c:v>931.21873682918556</c:v>
                </c:pt>
                <c:pt idx="13">
                  <c:v>873.92497310683802</c:v>
                </c:pt>
                <c:pt idx="14">
                  <c:v>815.46127407313293</c:v>
                </c:pt>
                <c:pt idx="15">
                  <c:v>756.18580000096404</c:v>
                </c:pt>
                <c:pt idx="16">
                  <c:v>696.38373979478058</c:v>
                </c:pt>
                <c:pt idx="17">
                  <c:v>636.23262833671288</c:v>
                </c:pt>
                <c:pt idx="18">
                  <c:v>575.77038413970934</c:v>
                </c:pt>
                <c:pt idx="19">
                  <c:v>514.86606730766721</c:v>
                </c:pt>
                <c:pt idx="20">
                  <c:v>453.19335780257569</c:v>
                </c:pt>
                <c:pt idx="21">
                  <c:v>390.20675401865321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A7-44E1-925E-EEEB85098C2B}"/>
            </c:ext>
          </c:extLst>
        </c:ser>
        <c:ser>
          <c:idx val="1"/>
          <c:order val="1"/>
          <c:tx>
            <c:strRef>
              <c:f>УЭЦН!$L$6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УЭЦН!$L$8:$L$29</c:f>
              <c:numCache>
                <c:formatCode>General</c:formatCode>
                <c:ptCount val="22"/>
                <c:pt idx="0">
                  <c:v>1423.0003437835012</c:v>
                </c:pt>
                <c:pt idx="1">
                  <c:v>1383.8725406895796</c:v>
                </c:pt>
                <c:pt idx="2">
                  <c:v>1349.4367335272127</c:v>
                </c:pt>
                <c:pt idx="3">
                  <c:v>1317.3620106927963</c:v>
                </c:pt>
                <c:pt idx="4">
                  <c:v>1285.8138918932718</c:v>
                </c:pt>
                <c:pt idx="5">
                  <c:v>1253.4000721614057</c:v>
                </c:pt>
                <c:pt idx="6">
                  <c:v>1219.1174610091182</c:v>
                </c:pt>
                <c:pt idx="7">
                  <c:v>1182.3005167188603</c:v>
                </c:pt>
                <c:pt idx="8">
                  <c:v>1142.5708757730411</c:v>
                </c:pt>
                <c:pt idx="9">
                  <c:v>1099.7882774215025</c:v>
                </c:pt>
                <c:pt idx="10">
                  <c:v>1046.4912668069258</c:v>
                </c:pt>
                <c:pt idx="11">
                  <c:v>988.90817680095449</c:v>
                </c:pt>
                <c:pt idx="12">
                  <c:v>931.21873682918556</c:v>
                </c:pt>
                <c:pt idx="13">
                  <c:v>873.92497310683802</c:v>
                </c:pt>
                <c:pt idx="14">
                  <c:v>815.46127407313293</c:v>
                </c:pt>
                <c:pt idx="15">
                  <c:v>756.18580000096404</c:v>
                </c:pt>
                <c:pt idx="16">
                  <c:v>696.38373979478058</c:v>
                </c:pt>
                <c:pt idx="17">
                  <c:v>636.23262833671288</c:v>
                </c:pt>
                <c:pt idx="18">
                  <c:v>575.77038413970934</c:v>
                </c:pt>
                <c:pt idx="19">
                  <c:v>514.86606730766721</c:v>
                </c:pt>
                <c:pt idx="20">
                  <c:v>453.19335780257569</c:v>
                </c:pt>
                <c:pt idx="21">
                  <c:v>390.20675401865321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A7-44E1-925E-EEEB85098C2B}"/>
            </c:ext>
          </c:extLst>
        </c:ser>
        <c:ser>
          <c:idx val="2"/>
          <c:order val="2"/>
          <c:tx>
            <c:strRef>
              <c:f>УЭЦН!$O$6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УЭЦН!$O$8:$O$29</c:f>
              <c:numCache>
                <c:formatCode>General</c:formatCode>
                <c:ptCount val="22"/>
                <c:pt idx="0">
                  <c:v>1466.1658504620191</c:v>
                </c:pt>
                <c:pt idx="1">
                  <c:v>1435.7342473006936</c:v>
                </c:pt>
                <c:pt idx="2">
                  <c:v>1409.2513592060304</c:v>
                </c:pt>
                <c:pt idx="3">
                  <c:v>1384.9009382232398</c:v>
                </c:pt>
                <c:pt idx="4">
                  <c:v>1361.1922954176353</c:v>
                </c:pt>
                <c:pt idx="5">
                  <c:v>1336.9325888207607</c:v>
                </c:pt>
                <c:pt idx="6">
                  <c:v>1311.1991113765134</c:v>
                </c:pt>
                <c:pt idx="7">
                  <c:v>1283.3115788872694</c:v>
                </c:pt>
                <c:pt idx="8">
                  <c:v>1252.804417960007</c:v>
                </c:pt>
                <c:pt idx="9">
                  <c:v>1219.399053952432</c:v>
                </c:pt>
                <c:pt idx="10">
                  <c:v>1182.9761989191024</c:v>
                </c:pt>
                <c:pt idx="11">
                  <c:v>1143.5481395575514</c:v>
                </c:pt>
                <c:pt idx="12">
                  <c:v>1101.2310251544136</c:v>
                </c:pt>
                <c:pt idx="13">
                  <c:v>1056.217155531549</c:v>
                </c:pt>
                <c:pt idx="14">
                  <c:v>1008.7472689921658</c:v>
                </c:pt>
                <c:pt idx="15">
                  <c:v>959.08283026694778</c:v>
                </c:pt>
                <c:pt idx="16">
                  <c:v>907.47831846017618</c:v>
                </c:pt>
                <c:pt idx="17">
                  <c:v>854.15351499585699</c:v>
                </c:pt>
                <c:pt idx="18">
                  <c:v>799.26579156384093</c:v>
                </c:pt>
                <c:pt idx="19">
                  <c:v>742.88239806595402</c:v>
                </c:pt>
                <c:pt idx="20">
                  <c:v>684.95275056211574</c:v>
                </c:pt>
                <c:pt idx="21">
                  <c:v>395.06921972774785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A7-44E1-925E-EEEB85098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</a:t>
            </a:r>
            <a:r>
              <a:rPr lang="ru-RU" baseline="0"/>
              <a:t> вязкости (с</a:t>
            </a:r>
            <a:r>
              <a:rPr lang="en-US" baseline="0"/>
              <a:t>St)</a:t>
            </a:r>
            <a:r>
              <a:rPr lang="ru-RU" baseline="0"/>
              <a:t> на КПД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УЭЦН!$I$6</c:f>
              <c:strCache>
                <c:ptCount val="1"/>
                <c:pt idx="0">
                  <c:v>#ЗНАЧ!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4.2018636325146389E-3</c:v>
                </c:pt>
                <c:pt idx="1">
                  <c:v>6.2804778508766271E-2</c:v>
                </c:pt>
                <c:pt idx="2">
                  <c:v>0.11685847176255383</c:v>
                </c:pt>
                <c:pt idx="3">
                  <c:v>0.16616658764540124</c:v>
                </c:pt>
                <c:pt idx="4">
                  <c:v>0.21065446314618291</c:v>
                </c:pt>
                <c:pt idx="5">
                  <c:v>0.25034879991204928</c:v>
                </c:pt>
                <c:pt idx="6">
                  <c:v>0.28535733616935149</c:v>
                </c:pt>
                <c:pt idx="7">
                  <c:v>0.31584851864456687</c:v>
                </c:pt>
                <c:pt idx="8">
                  <c:v>0.34203117448522374</c:v>
                </c:pt>
                <c:pt idx="9">
                  <c:v>0.36413418318082658</c:v>
                </c:pt>
                <c:pt idx="10">
                  <c:v>0.38238614848378139</c:v>
                </c:pt>
                <c:pt idx="11">
                  <c:v>0.39699507033032022</c:v>
                </c:pt>
                <c:pt idx="12">
                  <c:v>0.40812801676142701</c:v>
                </c:pt>
                <c:pt idx="13">
                  <c:v>0.41589079584376187</c:v>
                </c:pt>
                <c:pt idx="14">
                  <c:v>0.42030762759058737</c:v>
                </c:pt>
                <c:pt idx="15">
                  <c:v>0.42130081588269208</c:v>
                </c:pt>
                <c:pt idx="16">
                  <c:v>0.41867042038931668</c:v>
                </c:pt>
                <c:pt idx="17">
                  <c:v>0.41207392848907937</c:v>
                </c:pt>
                <c:pt idx="18">
                  <c:v>0.40100592719090022</c:v>
                </c:pt>
                <c:pt idx="19">
                  <c:v>0.38477777505492566</c:v>
                </c:pt>
                <c:pt idx="20">
                  <c:v>0.36249727411345584</c:v>
                </c:pt>
                <c:pt idx="21">
                  <c:v>0.3330483417918676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3A-411D-B51C-F346D852A429}"/>
            </c:ext>
          </c:extLst>
        </c:ser>
        <c:ser>
          <c:idx val="1"/>
          <c:order val="1"/>
          <c:tx>
            <c:strRef>
              <c:f>УЭЦН!$L$6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УЭЦН!$N$8:$N$29</c:f>
              <c:numCache>
                <c:formatCode>General</c:formatCode>
                <c:ptCount val="22"/>
                <c:pt idx="0">
                  <c:v>6.5251547677530166E-3</c:v>
                </c:pt>
                <c:pt idx="1">
                  <c:v>9.7935427543075507E-2</c:v>
                </c:pt>
                <c:pt idx="2">
                  <c:v>0.18297772611658739</c:v>
                </c:pt>
                <c:pt idx="3">
                  <c:v>0.26137713925827116</c:v>
                </c:pt>
                <c:pt idx="4">
                  <c:v>0.33300393689004698</c:v>
                </c:pt>
                <c:pt idx="5">
                  <c:v>0.39785228821193758</c:v>
                </c:pt>
                <c:pt idx="6">
                  <c:v>0.45601897982823331</c:v>
                </c:pt>
                <c:pt idx="7">
                  <c:v>0.50768213387365813</c:v>
                </c:pt>
                <c:pt idx="8">
                  <c:v>0.55307992613953483</c:v>
                </c:pt>
                <c:pt idx="9">
                  <c:v>0.59248930419994972</c:v>
                </c:pt>
                <c:pt idx="10">
                  <c:v>0.6262047055379184</c:v>
                </c:pt>
                <c:pt idx="11">
                  <c:v>0.65451677567155109</c:v>
                </c:pt>
                <c:pt idx="12">
                  <c:v>0.67769108628021713</c:v>
                </c:pt>
                <c:pt idx="13">
                  <c:v>0.6959468533307116</c:v>
                </c:pt>
                <c:pt idx="14">
                  <c:v>0.70943565520341989</c:v>
                </c:pt>
                <c:pt idx="15">
                  <c:v>0.71822015081848323</c:v>
                </c:pt>
                <c:pt idx="16">
                  <c:v>0.72225279776196305</c:v>
                </c:pt>
                <c:pt idx="17">
                  <c:v>0.72135457041200812</c:v>
                </c:pt>
                <c:pt idx="18">
                  <c:v>0.71519367806501777</c:v>
                </c:pt>
                <c:pt idx="19">
                  <c:v>0.70326428306180921</c:v>
                </c:pt>
                <c:pt idx="20">
                  <c:v>0.36249727411345584</c:v>
                </c:pt>
                <c:pt idx="21">
                  <c:v>0.3330483417918676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3A-411D-B51C-F346D852A429}"/>
            </c:ext>
          </c:extLst>
        </c:ser>
        <c:ser>
          <c:idx val="2"/>
          <c:order val="2"/>
          <c:tx>
            <c:strRef>
              <c:f>УЭЦН!$O$6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УЭЦН!$Q$8:$Q$29</c:f>
              <c:numCache>
                <c:formatCode>General</c:formatCode>
                <c:ptCount val="22"/>
                <c:pt idx="0">
                  <c:v>6.5251547677530166E-3</c:v>
                </c:pt>
                <c:pt idx="1">
                  <c:v>9.7935427543075507E-2</c:v>
                </c:pt>
                <c:pt idx="2">
                  <c:v>0.18297772611658739</c:v>
                </c:pt>
                <c:pt idx="3">
                  <c:v>0.26137713925827116</c:v>
                </c:pt>
                <c:pt idx="4">
                  <c:v>0.33300393689004698</c:v>
                </c:pt>
                <c:pt idx="5">
                  <c:v>0.39785228821193758</c:v>
                </c:pt>
                <c:pt idx="6">
                  <c:v>0.45601897982823331</c:v>
                </c:pt>
                <c:pt idx="7">
                  <c:v>0.50768213387365813</c:v>
                </c:pt>
                <c:pt idx="8">
                  <c:v>0.55307992613953483</c:v>
                </c:pt>
                <c:pt idx="9">
                  <c:v>0.59248930419994972</c:v>
                </c:pt>
                <c:pt idx="10">
                  <c:v>0.6262047055379184</c:v>
                </c:pt>
                <c:pt idx="11">
                  <c:v>0.65451677567155109</c:v>
                </c:pt>
                <c:pt idx="12">
                  <c:v>0.67769108628021713</c:v>
                </c:pt>
                <c:pt idx="13">
                  <c:v>0.6959468533307116</c:v>
                </c:pt>
                <c:pt idx="14">
                  <c:v>0.70943565520341989</c:v>
                </c:pt>
                <c:pt idx="15">
                  <c:v>0.71822015081848323</c:v>
                </c:pt>
                <c:pt idx="16">
                  <c:v>0.72225279776196305</c:v>
                </c:pt>
                <c:pt idx="17">
                  <c:v>0.72135457041200812</c:v>
                </c:pt>
                <c:pt idx="18">
                  <c:v>0.71519367806501777</c:v>
                </c:pt>
                <c:pt idx="19">
                  <c:v>0.70326428306180921</c:v>
                </c:pt>
                <c:pt idx="20">
                  <c:v>0.68486521891378072</c:v>
                </c:pt>
                <c:pt idx="21">
                  <c:v>0.65907870842907912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3A-411D-B51C-F346D852A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ед.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</a:t>
            </a:r>
            <a:r>
              <a:rPr lang="ru-RU" baseline="0"/>
              <a:t> ГФ на перепад давления в насосе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УЭЦН!$R$6</c:f>
              <c:strCache>
                <c:ptCount val="1"/>
                <c:pt idx="0">
                  <c:v>27.58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УЭЦН!$R$8:$R$29</c:f>
              <c:numCache>
                <c:formatCode>General</c:formatCode>
                <c:ptCount val="22"/>
                <c:pt idx="0">
                  <c:v>131.86742816154376</c:v>
                </c:pt>
                <c:pt idx="1">
                  <c:v>128.69652601391331</c:v>
                </c:pt>
                <c:pt idx="2">
                  <c:v>125.93384168030187</c:v>
                </c:pt>
                <c:pt idx="3">
                  <c:v>123.37682839927217</c:v>
                </c:pt>
                <c:pt idx="4">
                  <c:v>120.86378624392424</c:v>
                </c:pt>
                <c:pt idx="5">
                  <c:v>118.26970662495438</c:v>
                </c:pt>
                <c:pt idx="6">
                  <c:v>115.50221841584633</c:v>
                </c:pt>
                <c:pt idx="7">
                  <c:v>112.49760202035125</c:v>
                </c:pt>
                <c:pt idx="8">
                  <c:v>109.21685652622895</c:v>
                </c:pt>
                <c:pt idx="9">
                  <c:v>105.64181664559482</c:v>
                </c:pt>
                <c:pt idx="10">
                  <c:v>101.77132227078434</c:v>
                </c:pt>
                <c:pt idx="11">
                  <c:v>97.61744551274198</c:v>
                </c:pt>
                <c:pt idx="12">
                  <c:v>93.200451766804875</c:v>
                </c:pt>
                <c:pt idx="13">
                  <c:v>88.376219692968135</c:v>
                </c:pt>
                <c:pt idx="14">
                  <c:v>83.235148662821302</c:v>
                </c:pt>
                <c:pt idx="15">
                  <c:v>77.956170933940939</c:v>
                </c:pt>
                <c:pt idx="16">
                  <c:v>72.599715991008438</c:v>
                </c:pt>
                <c:pt idx="17">
                  <c:v>67.187896690035231</c:v>
                </c:pt>
                <c:pt idx="18">
                  <c:v>61.658821720575204</c:v>
                </c:pt>
                <c:pt idx="19">
                  <c:v>55.99213238195162</c:v>
                </c:pt>
                <c:pt idx="20">
                  <c:v>50.179063819183895</c:v>
                </c:pt>
                <c:pt idx="21">
                  <c:v>44.147139356118274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1A-4E44-8E6B-7912D6D8F51E}"/>
            </c:ext>
          </c:extLst>
        </c:ser>
        <c:ser>
          <c:idx val="1"/>
          <c:order val="1"/>
          <c:tx>
            <c:strRef>
              <c:f>УЭЦН!$T$6</c:f>
              <c:strCache>
                <c:ptCount val="1"/>
                <c:pt idx="0">
                  <c:v>110.32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УЭЦН!$T$8:$T$29</c:f>
              <c:numCache>
                <c:formatCode>General</c:formatCode>
                <c:ptCount val="22"/>
                <c:pt idx="0">
                  <c:v>141.91146501860595</c:v>
                </c:pt>
                <c:pt idx="1">
                  <c:v>138.69143873760484</c:v>
                </c:pt>
                <c:pt idx="2">
                  <c:v>135.89007336541272</c:v>
                </c:pt>
                <c:pt idx="3">
                  <c:v>133.30536305093457</c:v>
                </c:pt>
                <c:pt idx="4">
                  <c:v>130.77395203877268</c:v>
                </c:pt>
                <c:pt idx="5">
                  <c:v>128.16753398871529</c:v>
                </c:pt>
                <c:pt idx="6">
                  <c:v>125.38924270813649</c:v>
                </c:pt>
                <c:pt idx="7">
                  <c:v>122.37008195328607</c:v>
                </c:pt>
                <c:pt idx="8">
                  <c:v>119.06540877188647</c:v>
                </c:pt>
                <c:pt idx="9">
                  <c:v>115.4514624703906</c:v>
                </c:pt>
                <c:pt idx="10">
                  <c:v>111.52190147101368</c:v>
                </c:pt>
                <c:pt idx="11">
                  <c:v>107.28190415707007</c:v>
                </c:pt>
                <c:pt idx="12">
                  <c:v>102.74647933769069</c:v>
                </c:pt>
                <c:pt idx="13">
                  <c:v>97.934941008099216</c:v>
                </c:pt>
                <c:pt idx="14">
                  <c:v>92.753956095323559</c:v>
                </c:pt>
                <c:pt idx="15">
                  <c:v>87.386212968210032</c:v>
                </c:pt>
                <c:pt idx="16">
                  <c:v>81.761697882425054</c:v>
                </c:pt>
                <c:pt idx="17">
                  <c:v>75.938195327554112</c:v>
                </c:pt>
                <c:pt idx="18">
                  <c:v>69.955022288463368</c:v>
                </c:pt>
                <c:pt idx="19">
                  <c:v>63.600958844033784</c:v>
                </c:pt>
                <c:pt idx="20">
                  <c:v>56.627575330879964</c:v>
                </c:pt>
                <c:pt idx="21">
                  <c:v>47.410188380589872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1A-4E44-8E6B-7912D6D8F51E}"/>
            </c:ext>
          </c:extLst>
        </c:ser>
        <c:ser>
          <c:idx val="2"/>
          <c:order val="2"/>
          <c:tx>
            <c:strRef>
              <c:f>УЭЦН!$S$6</c:f>
              <c:strCache>
                <c:ptCount val="1"/>
                <c:pt idx="0">
                  <c:v>6.895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УЭЦН!$S$8:$S$29</c:f>
              <c:numCache>
                <c:formatCode>General</c:formatCode>
                <c:ptCount val="22"/>
                <c:pt idx="0">
                  <c:v>124.2853800028843</c:v>
                </c:pt>
                <c:pt idx="1">
                  <c:v>120.97872876991619</c:v>
                </c:pt>
                <c:pt idx="2">
                  <c:v>118.09926767239619</c:v>
                </c:pt>
                <c:pt idx="3">
                  <c:v>115.41832739074729</c:v>
                </c:pt>
                <c:pt idx="4">
                  <c:v>112.75754255377504</c:v>
                </c:pt>
                <c:pt idx="5">
                  <c:v>109.98322096214321</c:v>
                </c:pt>
                <c:pt idx="6">
                  <c:v>107.00085851437288</c:v>
                </c:pt>
                <c:pt idx="7">
                  <c:v>103.74976341438375</c:v>
                </c:pt>
                <c:pt idx="8">
                  <c:v>100.19777554323554</c:v>
                </c:pt>
                <c:pt idx="9">
                  <c:v>96.336080364336624</c:v>
                </c:pt>
                <c:pt idx="10">
                  <c:v>92.174123526753547</c:v>
                </c:pt>
                <c:pt idx="11">
                  <c:v>87.734634297873498</c:v>
                </c:pt>
                <c:pt idx="12">
                  <c:v>82.867208006453851</c:v>
                </c:pt>
                <c:pt idx="13">
                  <c:v>77.524598610305858</c:v>
                </c:pt>
                <c:pt idx="14">
                  <c:v>72.06280637564474</c:v>
                </c:pt>
                <c:pt idx="15">
                  <c:v>66.576781399412312</c:v>
                </c:pt>
                <c:pt idx="16">
                  <c:v>61.087546112802912</c:v>
                </c:pt>
                <c:pt idx="17">
                  <c:v>55.513133729454225</c:v>
                </c:pt>
                <c:pt idx="18">
                  <c:v>49.840029501561844</c:v>
                </c:pt>
                <c:pt idx="19">
                  <c:v>44.039231265687974</c:v>
                </c:pt>
                <c:pt idx="20">
                  <c:v>38.048397116713588</c:v>
                </c:pt>
                <c:pt idx="21">
                  <c:v>31.781498916792209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1A-4E44-8E6B-7912D6D8F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dP,</a:t>
                </a:r>
                <a:r>
                  <a:rPr lang="en-US" baseline="0"/>
                  <a:t>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</a:t>
            </a:r>
            <a:r>
              <a:rPr lang="ru-RU" baseline="0"/>
              <a:t> ГФ на КПД насоса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УЭЦН!$U$6</c:f>
              <c:strCache>
                <c:ptCount val="1"/>
                <c:pt idx="0">
                  <c:v>27.58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УЭЦН!$U$8:$U$29</c:f>
              <c:numCache>
                <c:formatCode>General</c:formatCode>
                <c:ptCount val="22"/>
                <c:pt idx="0">
                  <c:v>4.7220977984040345E-3</c:v>
                </c:pt>
                <c:pt idx="1">
                  <c:v>7.2128821933013496E-2</c:v>
                </c:pt>
                <c:pt idx="2">
                  <c:v>0.137774690582665</c:v>
                </c:pt>
                <c:pt idx="3">
                  <c:v>0.20053923983695404</c:v>
                </c:pt>
                <c:pt idx="4">
                  <c:v>0.25911606476406623</c:v>
                </c:pt>
                <c:pt idx="5">
                  <c:v>0.31230945314950553</c:v>
                </c:pt>
                <c:pt idx="6">
                  <c:v>0.35924720053477627</c:v>
                </c:pt>
                <c:pt idx="7">
                  <c:v>0.39948214204946025</c:v>
                </c:pt>
                <c:pt idx="8">
                  <c:v>0.4329892699558846</c:v>
                </c:pt>
                <c:pt idx="9">
                  <c:v>0.46008969845824005</c:v>
                </c:pt>
                <c:pt idx="10">
                  <c:v>0.48133962351218917</c:v>
                </c:pt>
                <c:pt idx="11">
                  <c:v>0.49741525782267537</c:v>
                </c:pt>
                <c:pt idx="12">
                  <c:v>0.50900503953078846</c:v>
                </c:pt>
                <c:pt idx="13">
                  <c:v>0.51576295979444908</c:v>
                </c:pt>
                <c:pt idx="14">
                  <c:v>0.51835479418154184</c:v>
                </c:pt>
                <c:pt idx="15">
                  <c:v>0.51792286105739216</c:v>
                </c:pt>
                <c:pt idx="16">
                  <c:v>0.51482083747093532</c:v>
                </c:pt>
                <c:pt idx="17">
                  <c:v>0.50894654728651778</c:v>
                </c:pt>
                <c:pt idx="18">
                  <c:v>0.49933358421642965</c:v>
                </c:pt>
                <c:pt idx="19">
                  <c:v>0.48488719200744224</c:v>
                </c:pt>
                <c:pt idx="20">
                  <c:v>0.46404846781995651</c:v>
                </c:pt>
                <c:pt idx="21">
                  <c:v>0.43454369825550732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D-4CD5-9247-078CBFF0C797}"/>
            </c:ext>
          </c:extLst>
        </c:ser>
        <c:ser>
          <c:idx val="1"/>
          <c:order val="1"/>
          <c:tx>
            <c:strRef>
              <c:f>УЭЦН!$W$6</c:f>
              <c:strCache>
                <c:ptCount val="1"/>
                <c:pt idx="0">
                  <c:v>110.32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УЭЦН!$W$8:$W$29</c:f>
              <c:numCache>
                <c:formatCode>General</c:formatCode>
                <c:ptCount val="22"/>
                <c:pt idx="0">
                  <c:v>5.3780081636516236E-3</c:v>
                </c:pt>
                <c:pt idx="1">
                  <c:v>8.2255113372529651E-2</c:v>
                </c:pt>
                <c:pt idx="2">
                  <c:v>0.15737276857036828</c:v>
                </c:pt>
                <c:pt idx="3">
                  <c:v>0.22954281296815146</c:v>
                </c:pt>
                <c:pt idx="4">
                  <c:v>0.29735682999451812</c:v>
                </c:pt>
                <c:pt idx="5">
                  <c:v>0.35948816200055445</c:v>
                </c:pt>
                <c:pt idx="6">
                  <c:v>0.41491852590409828</c:v>
                </c:pt>
                <c:pt idx="7">
                  <c:v>0.46305917087435261</c:v>
                </c:pt>
                <c:pt idx="8">
                  <c:v>0.50376780982369063</c:v>
                </c:pt>
                <c:pt idx="9">
                  <c:v>0.53728698405834951</c:v>
                </c:pt>
                <c:pt idx="10">
                  <c:v>0.56413894551420896</c:v>
                </c:pt>
                <c:pt idx="11">
                  <c:v>0.58499841809710318</c:v>
                </c:pt>
                <c:pt idx="12">
                  <c:v>0.60058049716121931</c:v>
                </c:pt>
                <c:pt idx="13">
                  <c:v>0.61153548003361025</c:v>
                </c:pt>
                <c:pt idx="14">
                  <c:v>0.61764082159907896</c:v>
                </c:pt>
                <c:pt idx="15">
                  <c:v>0.62017085766234692</c:v>
                </c:pt>
                <c:pt idx="16">
                  <c:v>0.61922508663085207</c:v>
                </c:pt>
                <c:pt idx="17">
                  <c:v>0.61468906142642921</c:v>
                </c:pt>
                <c:pt idx="18">
                  <c:v>0.60552768830130799</c:v>
                </c:pt>
                <c:pt idx="19">
                  <c:v>0.58972486300345117</c:v>
                </c:pt>
                <c:pt idx="20">
                  <c:v>0.56290547692515647</c:v>
                </c:pt>
                <c:pt idx="21">
                  <c:v>0.50701345970897327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2D-4CD5-9247-078CBFF0C797}"/>
            </c:ext>
          </c:extLst>
        </c:ser>
        <c:ser>
          <c:idx val="2"/>
          <c:order val="2"/>
          <c:tx>
            <c:strRef>
              <c:f>УЭЦН!$V$6</c:f>
              <c:strCache>
                <c:ptCount val="1"/>
                <c:pt idx="0">
                  <c:v>6.895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УЭЦН!$V$8:$V$29</c:f>
              <c:numCache>
                <c:formatCode>General</c:formatCode>
                <c:ptCount val="22"/>
                <c:pt idx="0">
                  <c:v>4.1529134715387571E-3</c:v>
                </c:pt>
                <c:pt idx="1">
                  <c:v>6.3279391520784295E-2</c:v>
                </c:pt>
                <c:pt idx="2">
                  <c:v>0.12049267763526206</c:v>
                </c:pt>
                <c:pt idx="3">
                  <c:v>0.17465243313593881</c:v>
                </c:pt>
                <c:pt idx="4">
                  <c:v>0.22446724808492433</c:v>
                </c:pt>
                <c:pt idx="5">
                  <c:v>0.26882348850069121</c:v>
                </c:pt>
                <c:pt idx="6">
                  <c:v>0.30699911702680999</c:v>
                </c:pt>
                <c:pt idx="7">
                  <c:v>0.33873885685272725</c:v>
                </c:pt>
                <c:pt idx="8">
                  <c:v>0.36421243772486328</c:v>
                </c:pt>
                <c:pt idx="9">
                  <c:v>0.38390311191209309</c:v>
                </c:pt>
                <c:pt idx="10">
                  <c:v>0.39847383073888371</c:v>
                </c:pt>
                <c:pt idx="11">
                  <c:v>0.40864307791328958</c:v>
                </c:pt>
                <c:pt idx="12">
                  <c:v>0.41418498410687243</c:v>
                </c:pt>
                <c:pt idx="13">
                  <c:v>0.41501780089979867</c:v>
                </c:pt>
                <c:pt idx="14">
                  <c:v>0.41302059682051595</c:v>
                </c:pt>
                <c:pt idx="15">
                  <c:v>0.40874038930403139</c:v>
                </c:pt>
                <c:pt idx="16">
                  <c:v>0.40210958414894843</c:v>
                </c:pt>
                <c:pt idx="17">
                  <c:v>0.39207336329475595</c:v>
                </c:pt>
                <c:pt idx="18">
                  <c:v>0.37760190465986482</c:v>
                </c:pt>
                <c:pt idx="19">
                  <c:v>0.35717406711230071</c:v>
                </c:pt>
                <c:pt idx="20">
                  <c:v>0.32871890630892403</c:v>
                </c:pt>
                <c:pt idx="21">
                  <c:v>0.28988620914976349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2D-4CD5-9247-078CBFF0C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</a:t>
                </a:r>
                <a:r>
                  <a:rPr lang="ru-RU" baseline="0"/>
                  <a:t> ед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</a:t>
            </a:r>
            <a:r>
              <a:rPr lang="ru-RU" baseline="0"/>
              <a:t> ГФ на  мощность насоса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УЭЦН!$X$6</c:f>
              <c:strCache>
                <c:ptCount val="1"/>
                <c:pt idx="0">
                  <c:v>27.58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УЭЦН!$X$8:$X$29</c:f>
              <c:numCache>
                <c:formatCode>General</c:formatCode>
                <c:ptCount val="22"/>
                <c:pt idx="0">
                  <c:v>34021.789743915477</c:v>
                </c:pt>
                <c:pt idx="1">
                  <c:v>33507.845307236654</c:v>
                </c:pt>
                <c:pt idx="2">
                  <c:v>33219.358761773932</c:v>
                </c:pt>
                <c:pt idx="3">
                  <c:v>33165.193014564902</c:v>
                </c:pt>
                <c:pt idx="4">
                  <c:v>33338.568635908254</c:v>
                </c:pt>
                <c:pt idx="5">
                  <c:v>33719.401862158702</c:v>
                </c:pt>
                <c:pt idx="6">
                  <c:v>34276.692322167226</c:v>
                </c:pt>
                <c:pt idx="7">
                  <c:v>34970.958814626661</c:v>
                </c:pt>
                <c:pt idx="8">
                  <c:v>35756.708859795239</c:v>
                </c:pt>
                <c:pt idx="9">
                  <c:v>36584.921248556544</c:v>
                </c:pt>
                <c:pt idx="10">
                  <c:v>37405.519577618485</c:v>
                </c:pt>
                <c:pt idx="11">
                  <c:v>38169.817784012812</c:v>
                </c:pt>
                <c:pt idx="12">
                  <c:v>38832.881647641712</c:v>
                </c:pt>
                <c:pt idx="13">
                  <c:v>39354.140764139724</c:v>
                </c:pt>
                <c:pt idx="14">
                  <c:v>39704.197970550907</c:v>
                </c:pt>
                <c:pt idx="15">
                  <c:v>39865.089939157035</c:v>
                </c:pt>
                <c:pt idx="16">
                  <c:v>39830.683129505742</c:v>
                </c:pt>
                <c:pt idx="17">
                  <c:v>39609.610380984283</c:v>
                </c:pt>
                <c:pt idx="18">
                  <c:v>39224.89311184574</c:v>
                </c:pt>
                <c:pt idx="19">
                  <c:v>38719.873344126543</c:v>
                </c:pt>
                <c:pt idx="20">
                  <c:v>38167.293712290229</c:v>
                </c:pt>
                <c:pt idx="21">
                  <c:v>37656.555765476369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88-46A4-856B-B66ACC49762F}"/>
            </c:ext>
          </c:extLst>
        </c:ser>
        <c:ser>
          <c:idx val="1"/>
          <c:order val="1"/>
          <c:tx>
            <c:strRef>
              <c:f>УЭЦН!$Z$6</c:f>
              <c:strCache>
                <c:ptCount val="1"/>
                <c:pt idx="0">
                  <c:v>110.32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УЭЦН!$Z$8:$Z$29</c:f>
              <c:numCache>
                <c:formatCode>General</c:formatCode>
                <c:ptCount val="22"/>
                <c:pt idx="0">
                  <c:v>31783.566346877884</c:v>
                </c:pt>
                <c:pt idx="1">
                  <c:v>31313.430601702094</c:v>
                </c:pt>
                <c:pt idx="2">
                  <c:v>31039.92474145467</c:v>
                </c:pt>
                <c:pt idx="3">
                  <c:v>30971.229606995126</c:v>
                </c:pt>
                <c:pt idx="4">
                  <c:v>31102.505688844194</c:v>
                </c:pt>
                <c:pt idx="5">
                  <c:v>31417.771502818006</c:v>
                </c:pt>
                <c:pt idx="6">
                  <c:v>31891.778848254504</c:v>
                </c:pt>
                <c:pt idx="7">
                  <c:v>32491.89728196539</c:v>
                </c:pt>
                <c:pt idx="8">
                  <c:v>33180.018590988038</c:v>
                </c:pt>
                <c:pt idx="9">
                  <c:v>33914.490276179495</c:v>
                </c:pt>
                <c:pt idx="10">
                  <c:v>34652.083989140738</c:v>
                </c:pt>
                <c:pt idx="11">
                  <c:v>35349.82251883288</c:v>
                </c:pt>
                <c:pt idx="12">
                  <c:v>35967.319407933996</c:v>
                </c:pt>
                <c:pt idx="13">
                  <c:v>36468.998743688891</c:v>
                </c:pt>
                <c:pt idx="14">
                  <c:v>36824.891821841593</c:v>
                </c:pt>
                <c:pt idx="15">
                  <c:v>37016.267761296695</c:v>
                </c:pt>
                <c:pt idx="16">
                  <c:v>37013.645682534836</c:v>
                </c:pt>
                <c:pt idx="17">
                  <c:v>36820.50496857494</c:v>
                </c:pt>
                <c:pt idx="18">
                  <c:v>36472.850415975568</c:v>
                </c:pt>
                <c:pt idx="19">
                  <c:v>35971.2769737083</c:v>
                </c:pt>
                <c:pt idx="20">
                  <c:v>35358.489405128435</c:v>
                </c:pt>
                <c:pt idx="21">
                  <c:v>34591.619882773994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88-46A4-856B-B66ACC49762F}"/>
            </c:ext>
          </c:extLst>
        </c:ser>
        <c:ser>
          <c:idx val="2"/>
          <c:order val="2"/>
          <c:tx>
            <c:strRef>
              <c:f>УЭЦН!$Y$6</c:f>
              <c:strCache>
                <c:ptCount val="1"/>
                <c:pt idx="0">
                  <c:v>6.895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УЭЦН!$Y$8:$Y$29</c:f>
              <c:numCache>
                <c:formatCode>General</c:formatCode>
                <c:ptCount val="22"/>
                <c:pt idx="0">
                  <c:v>37836.4441813866</c:v>
                </c:pt>
                <c:pt idx="1">
                  <c:v>37255.755756158636</c:v>
                </c:pt>
                <c:pt idx="2">
                  <c:v>36960.359779740385</c:v>
                </c:pt>
                <c:pt idx="3">
                  <c:v>36961.943611111077</c:v>
                </c:pt>
                <c:pt idx="4">
                  <c:v>37249.387975973332</c:v>
                </c:pt>
                <c:pt idx="5">
                  <c:v>37792.531641309492</c:v>
                </c:pt>
                <c:pt idx="6">
                  <c:v>38545.981120445424</c:v>
                </c:pt>
                <c:pt idx="7">
                  <c:v>39452.95978862729</c:v>
                </c:pt>
                <c:pt idx="8">
                  <c:v>40449.178339208891</c:v>
                </c:pt>
                <c:pt idx="9">
                  <c:v>41466.703358554201</c:v>
                </c:pt>
                <c:pt idx="10">
                  <c:v>42437.80154280446</c:v>
                </c:pt>
                <c:pt idx="11">
                  <c:v>43298.74209828856</c:v>
                </c:pt>
                <c:pt idx="12">
                  <c:v>43992.567848920211</c:v>
                </c:pt>
                <c:pt idx="13">
                  <c:v>44474.447090862814</c:v>
                </c:pt>
                <c:pt idx="14">
                  <c:v>44716.791349055362</c:v>
                </c:pt>
                <c:pt idx="15">
                  <c:v>44709.198169115305</c:v>
                </c:pt>
                <c:pt idx="16">
                  <c:v>44463.117261334759</c:v>
                </c:pt>
                <c:pt idx="17">
                  <c:v>44015.443100339086</c:v>
                </c:pt>
                <c:pt idx="18">
                  <c:v>43432.61913081527</c:v>
                </c:pt>
                <c:pt idx="19">
                  <c:v>42814.207132585543</c:v>
                </c:pt>
                <c:pt idx="20">
                  <c:v>42296.21684071562</c:v>
                </c:pt>
                <c:pt idx="21">
                  <c:v>42055.027654103629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88-46A4-856B-B66ACC497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ватт</a:t>
                </a:r>
              </a:p>
            </c:rich>
          </c:tx>
          <c:layout>
            <c:manualLayout>
              <c:xMode val="edge"/>
              <c:yMode val="edge"/>
              <c:x val="3.2177166511423931E-2"/>
              <c:y val="0.347639047694519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</a:t>
            </a:r>
            <a:r>
              <a:rPr lang="ru-RU" baseline="0"/>
              <a:t> вязкости (с</a:t>
            </a:r>
            <a:r>
              <a:rPr lang="en-US" baseline="0"/>
              <a:t>St)</a:t>
            </a:r>
            <a:r>
              <a:rPr lang="ru-RU" baseline="0"/>
              <a:t> на КПД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УЭЦН!$I$6</c:f>
              <c:strCache>
                <c:ptCount val="1"/>
                <c:pt idx="0">
                  <c:v>#ЗНАЧ!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УЭЦН!$AA$8:$AA$29</c:f>
              <c:numCache>
                <c:formatCode>General</c:formatCode>
                <c:ptCount val="22"/>
                <c:pt idx="0">
                  <c:v>4.7220977984040345E-3</c:v>
                </c:pt>
                <c:pt idx="1">
                  <c:v>7.2128821933013496E-2</c:v>
                </c:pt>
                <c:pt idx="2">
                  <c:v>0.137774690582665</c:v>
                </c:pt>
                <c:pt idx="3">
                  <c:v>0.20053923983695404</c:v>
                </c:pt>
                <c:pt idx="4">
                  <c:v>0.25911606476406623</c:v>
                </c:pt>
                <c:pt idx="5">
                  <c:v>0.31230945314950553</c:v>
                </c:pt>
                <c:pt idx="6">
                  <c:v>0.35924720053477627</c:v>
                </c:pt>
                <c:pt idx="7">
                  <c:v>0.39948214204946025</c:v>
                </c:pt>
                <c:pt idx="8">
                  <c:v>0.4329892699558846</c:v>
                </c:pt>
                <c:pt idx="9">
                  <c:v>0.46008969845824005</c:v>
                </c:pt>
                <c:pt idx="10">
                  <c:v>0.48133962351218917</c:v>
                </c:pt>
                <c:pt idx="11">
                  <c:v>0.49741525782267537</c:v>
                </c:pt>
                <c:pt idx="12">
                  <c:v>0.50900503953078846</c:v>
                </c:pt>
                <c:pt idx="13">
                  <c:v>0.51576295979444908</c:v>
                </c:pt>
                <c:pt idx="14">
                  <c:v>0.51835479418154184</c:v>
                </c:pt>
                <c:pt idx="15">
                  <c:v>0.51792286105739216</c:v>
                </c:pt>
                <c:pt idx="16">
                  <c:v>0.51482083747093532</c:v>
                </c:pt>
                <c:pt idx="17">
                  <c:v>0.50894654728651778</c:v>
                </c:pt>
                <c:pt idx="18">
                  <c:v>0.49933358421642965</c:v>
                </c:pt>
                <c:pt idx="19">
                  <c:v>0.48488719200744224</c:v>
                </c:pt>
                <c:pt idx="20">
                  <c:v>0.46404846781995651</c:v>
                </c:pt>
                <c:pt idx="21">
                  <c:v>0.43454369825550732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1D-48D0-BB08-3CB194D15C30}"/>
            </c:ext>
          </c:extLst>
        </c:ser>
        <c:ser>
          <c:idx val="1"/>
          <c:order val="1"/>
          <c:tx>
            <c:strRef>
              <c:f>УЭЦН!$L$6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УЭЦН!$AB$8:$AB$29</c:f>
              <c:numCache>
                <c:formatCode>General</c:formatCode>
                <c:ptCount val="22"/>
                <c:pt idx="0">
                  <c:v>4.7220977984040345E-3</c:v>
                </c:pt>
                <c:pt idx="1">
                  <c:v>7.2128821933013496E-2</c:v>
                </c:pt>
                <c:pt idx="2">
                  <c:v>0.137774690582665</c:v>
                </c:pt>
                <c:pt idx="3">
                  <c:v>0.20053923983695404</c:v>
                </c:pt>
                <c:pt idx="4">
                  <c:v>0.25911606476406623</c:v>
                </c:pt>
                <c:pt idx="5">
                  <c:v>0.31230945314950553</c:v>
                </c:pt>
                <c:pt idx="6">
                  <c:v>0.35924720053477627</c:v>
                </c:pt>
                <c:pt idx="7">
                  <c:v>0.39948214204946025</c:v>
                </c:pt>
                <c:pt idx="8">
                  <c:v>0.4329892699558846</c:v>
                </c:pt>
                <c:pt idx="9">
                  <c:v>0.46008969845824005</c:v>
                </c:pt>
                <c:pt idx="10">
                  <c:v>0.48133962351218917</c:v>
                </c:pt>
                <c:pt idx="11">
                  <c:v>0.49741525782267537</c:v>
                </c:pt>
                <c:pt idx="12">
                  <c:v>0.50900503953078846</c:v>
                </c:pt>
                <c:pt idx="13">
                  <c:v>0.51576295979444908</c:v>
                </c:pt>
                <c:pt idx="14">
                  <c:v>0.51835479418154184</c:v>
                </c:pt>
                <c:pt idx="15">
                  <c:v>0.51792286105739216</c:v>
                </c:pt>
                <c:pt idx="16">
                  <c:v>0.51482083747093532</c:v>
                </c:pt>
                <c:pt idx="17">
                  <c:v>0.50894654728651778</c:v>
                </c:pt>
                <c:pt idx="18">
                  <c:v>0.49933358421642965</c:v>
                </c:pt>
                <c:pt idx="19">
                  <c:v>0.48488719200744224</c:v>
                </c:pt>
                <c:pt idx="20">
                  <c:v>0.46404846781995651</c:v>
                </c:pt>
                <c:pt idx="21">
                  <c:v>0.43454369825550732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1D-48D0-BB08-3CB194D15C30}"/>
            </c:ext>
          </c:extLst>
        </c:ser>
        <c:ser>
          <c:idx val="2"/>
          <c:order val="2"/>
          <c:tx>
            <c:strRef>
              <c:f>УЭЦН!$O$6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УЭЦН!$AC$8:$AC$29</c:f>
              <c:numCache>
                <c:formatCode>General</c:formatCode>
                <c:ptCount val="22"/>
                <c:pt idx="0">
                  <c:v>4.7220977984040345E-3</c:v>
                </c:pt>
                <c:pt idx="1">
                  <c:v>7.2128821933013496E-2</c:v>
                </c:pt>
                <c:pt idx="2">
                  <c:v>0.137774690582665</c:v>
                </c:pt>
                <c:pt idx="3">
                  <c:v>0.20053923983695404</c:v>
                </c:pt>
                <c:pt idx="4">
                  <c:v>0.25911606476406623</c:v>
                </c:pt>
                <c:pt idx="5">
                  <c:v>0.31230945314950553</c:v>
                </c:pt>
                <c:pt idx="6">
                  <c:v>0.35924720053477627</c:v>
                </c:pt>
                <c:pt idx="7">
                  <c:v>0.39948214204946025</c:v>
                </c:pt>
                <c:pt idx="8">
                  <c:v>0.4329892699558846</c:v>
                </c:pt>
                <c:pt idx="9">
                  <c:v>0.46008969845824005</c:v>
                </c:pt>
                <c:pt idx="10">
                  <c:v>0.48133962351218917</c:v>
                </c:pt>
                <c:pt idx="11">
                  <c:v>0.49741525782267537</c:v>
                </c:pt>
                <c:pt idx="12">
                  <c:v>0.50900503953078846</c:v>
                </c:pt>
                <c:pt idx="13">
                  <c:v>0.51576295979444908</c:v>
                </c:pt>
                <c:pt idx="14">
                  <c:v>0.51835479418154184</c:v>
                </c:pt>
                <c:pt idx="15">
                  <c:v>0.51792286105739216</c:v>
                </c:pt>
                <c:pt idx="16">
                  <c:v>0.51482083747093532</c:v>
                </c:pt>
                <c:pt idx="17">
                  <c:v>0.50894654728651778</c:v>
                </c:pt>
                <c:pt idx="18">
                  <c:v>0.49933358421642965</c:v>
                </c:pt>
                <c:pt idx="19">
                  <c:v>0.48488719200744224</c:v>
                </c:pt>
                <c:pt idx="20">
                  <c:v>0.46404846781995651</c:v>
                </c:pt>
                <c:pt idx="21">
                  <c:v>0.43454369825550732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1D-48D0-BB08-3CB194D15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ед.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Скважина_расчет!$S$17:$S$37</c:f>
              <c:numCache>
                <c:formatCode>General</c:formatCode>
                <c:ptCount val="21"/>
                <c:pt idx="0">
                  <c:v>0.94226566063103401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0.99967282289189208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Скважина_расчет!$R$17:$R$37</c:f>
              <c:numCache>
                <c:formatCode>General</c:formatCode>
                <c:ptCount val="21"/>
                <c:pt idx="0">
                  <c:v>0</c:v>
                </c:pt>
                <c:pt idx="1">
                  <c:v>110.25</c:v>
                </c:pt>
                <c:pt idx="2">
                  <c:v>220.5</c:v>
                </c:pt>
                <c:pt idx="3">
                  <c:v>330.75</c:v>
                </c:pt>
                <c:pt idx="4">
                  <c:v>441</c:v>
                </c:pt>
                <c:pt idx="5">
                  <c:v>551.25</c:v>
                </c:pt>
                <c:pt idx="6">
                  <c:v>661.5</c:v>
                </c:pt>
                <c:pt idx="7">
                  <c:v>771.75</c:v>
                </c:pt>
                <c:pt idx="8">
                  <c:v>882</c:v>
                </c:pt>
                <c:pt idx="9">
                  <c:v>992.25</c:v>
                </c:pt>
                <c:pt idx="10">
                  <c:v>1102.5</c:v>
                </c:pt>
                <c:pt idx="11">
                  <c:v>1212.75</c:v>
                </c:pt>
                <c:pt idx="12">
                  <c:v>1323</c:v>
                </c:pt>
                <c:pt idx="13">
                  <c:v>1433.25</c:v>
                </c:pt>
                <c:pt idx="14">
                  <c:v>1543.5</c:v>
                </c:pt>
                <c:pt idx="15">
                  <c:v>1653.75</c:v>
                </c:pt>
                <c:pt idx="16">
                  <c:v>1764</c:v>
                </c:pt>
                <c:pt idx="17">
                  <c:v>1874.25</c:v>
                </c:pt>
                <c:pt idx="18">
                  <c:v>1984.5</c:v>
                </c:pt>
                <c:pt idx="19">
                  <c:v>2094.75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layout>
        <c:manualLayout>
          <c:xMode val="edge"/>
          <c:yMode val="edge"/>
          <c:x val="0.15948871961430511"/>
          <c:y val="2.1244542076404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4448244230537607"/>
          <c:y val="0.12828388342948194"/>
          <c:w val="0.81595107199824035"/>
          <c:h val="0.7864126681167769"/>
        </c:manualLayout>
      </c:layout>
      <c:scatterChart>
        <c:scatterStyle val="lineMarker"/>
        <c:varyColors val="0"/>
        <c:ser>
          <c:idx val="0"/>
          <c:order val="0"/>
          <c:tx>
            <c:strRef>
              <c:f>Скважина_расчет!$N$15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Скважина_расчет!$O$17:$O$37</c:f>
              <c:numCache>
                <c:formatCode>General</c:formatCode>
                <c:ptCount val="21"/>
                <c:pt idx="0">
                  <c:v>28.069293186580246</c:v>
                </c:pt>
                <c:pt idx="1">
                  <c:v>40.996125293405669</c:v>
                </c:pt>
                <c:pt idx="2">
                  <c:v>53.973389333726708</c:v>
                </c:pt>
                <c:pt idx="3">
                  <c:v>66.907204987744862</c:v>
                </c:pt>
                <c:pt idx="4">
                  <c:v>79.702412844777555</c:v>
                </c:pt>
                <c:pt idx="5">
                  <c:v>91.757858054240202</c:v>
                </c:pt>
                <c:pt idx="6">
                  <c:v>102.08346542084797</c:v>
                </c:pt>
                <c:pt idx="7">
                  <c:v>108.53747743676156</c:v>
                </c:pt>
                <c:pt idx="8">
                  <c:v>30.307692304088036</c:v>
                </c:pt>
                <c:pt idx="9">
                  <c:v>31.471051658376446</c:v>
                </c:pt>
                <c:pt idx="10">
                  <c:v>35.593788087082913</c:v>
                </c:pt>
                <c:pt idx="11">
                  <c:v>37.250985995016173</c:v>
                </c:pt>
                <c:pt idx="12">
                  <c:v>38.273549898001839</c:v>
                </c:pt>
                <c:pt idx="13">
                  <c:v>38.465424206710587</c:v>
                </c:pt>
                <c:pt idx="14">
                  <c:v>38.573327369725895</c:v>
                </c:pt>
                <c:pt idx="15">
                  <c:v>38.663250976858066</c:v>
                </c:pt>
                <c:pt idx="16">
                  <c:v>38.755867430903749</c:v>
                </c:pt>
                <c:pt idx="17">
                  <c:v>38.854085086037259</c:v>
                </c:pt>
                <c:pt idx="18">
                  <c:v>38.948895890970611</c:v>
                </c:pt>
                <c:pt idx="19">
                  <c:v>39.041048535879362</c:v>
                </c:pt>
                <c:pt idx="20">
                  <c:v>39</c:v>
                </c:pt>
              </c:numCache>
            </c:numRef>
          </c:xVal>
          <c:yVal>
            <c:numRef>
              <c:f>Скважина_расчет!$N$17:$N$37</c:f>
              <c:numCache>
                <c:formatCode>General</c:formatCode>
                <c:ptCount val="21"/>
                <c:pt idx="0">
                  <c:v>0</c:v>
                </c:pt>
                <c:pt idx="1">
                  <c:v>122.5</c:v>
                </c:pt>
                <c:pt idx="2">
                  <c:v>245</c:v>
                </c:pt>
                <c:pt idx="3">
                  <c:v>367.5</c:v>
                </c:pt>
                <c:pt idx="4">
                  <c:v>490</c:v>
                </c:pt>
                <c:pt idx="5">
                  <c:v>612.5</c:v>
                </c:pt>
                <c:pt idx="6">
                  <c:v>735</c:v>
                </c:pt>
                <c:pt idx="7">
                  <c:v>830</c:v>
                </c:pt>
                <c:pt idx="8">
                  <c:v>831</c:v>
                </c:pt>
                <c:pt idx="9">
                  <c:v>857.5</c:v>
                </c:pt>
                <c:pt idx="10">
                  <c:v>980</c:v>
                </c:pt>
                <c:pt idx="11">
                  <c:v>1102.5</c:v>
                </c:pt>
                <c:pt idx="12">
                  <c:v>1225</c:v>
                </c:pt>
                <c:pt idx="13">
                  <c:v>1347.5</c:v>
                </c:pt>
                <c:pt idx="14">
                  <c:v>1470</c:v>
                </c:pt>
                <c:pt idx="15">
                  <c:v>1592.5</c:v>
                </c:pt>
                <c:pt idx="16">
                  <c:v>1715</c:v>
                </c:pt>
                <c:pt idx="17">
                  <c:v>1837.5</c:v>
                </c:pt>
                <c:pt idx="18">
                  <c:v>1960</c:v>
                </c:pt>
                <c:pt idx="19">
                  <c:v>2082.5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Скважина_расчет!$H$15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Скважина_расчет!$I$17:$I$37</c:f>
              <c:numCache>
                <c:formatCode>General</c:formatCode>
                <c:ptCount val="21"/>
                <c:pt idx="0">
                  <c:v>32</c:v>
                </c:pt>
              </c:numCache>
            </c:numRef>
          </c:xVal>
          <c:yVal>
            <c:numRef>
              <c:f>Скважина_расчет!$H$17:$H$37</c:f>
              <c:numCache>
                <c:formatCode>General</c:formatCode>
                <c:ptCount val="21"/>
                <c:pt idx="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tx>
            <c:v>Фактические замеры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4B9D4AE7-1D23-43D4-BDD1-AC0836BB103B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0A58E93-D0AB-4FC3-BC59-432A6FE211F4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129E1F78-EB5B-491C-BB5F-7064135981B7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7691AEE5-4654-4144-8577-1FB73A33BD77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188F06-2DCB-4AAF-B755-2E411A5CE361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F08A164-FC56-4F98-A73D-972303DB1C74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Скважина_расчет!$V$17:$V$19</c:f>
              <c:numCache>
                <c:formatCode>0</c:formatCode>
                <c:ptCount val="3"/>
                <c:pt idx="0">
                  <c:v>22.038780978525899</c:v>
                </c:pt>
                <c:pt idx="1">
                  <c:v>28.069293186580246</c:v>
                </c:pt>
                <c:pt idx="2">
                  <c:v>39</c:v>
                </c:pt>
              </c:numCache>
            </c:numRef>
          </c:xVal>
          <c:yVal>
            <c:numRef>
              <c:f>Скважина_расчет!$U$17:$U$19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1257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Скважина_расчет!$P$11:$P$13</c15:f>
                <c15:dlblRangeCache>
                  <c:ptCount val="3"/>
                  <c:pt idx="0">
                    <c:v>Р лин.</c:v>
                  </c:pt>
                  <c:pt idx="1">
                    <c:v>P буф.</c:v>
                  </c:pt>
                  <c:pt idx="2">
                    <c:v>P заб.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tx>
            <c:v>Затрубное пространство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Скважина_расчет!$X$17:$X$37</c:f>
              <c:numCache>
                <c:formatCode>General</c:formatCode>
                <c:ptCount val="21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27.716441364583854</c:v>
                </c:pt>
                <c:pt idx="20">
                  <c:v>30.307692304088032</c:v>
                </c:pt>
              </c:numCache>
            </c:numRef>
          </c:xVal>
          <c:yVal>
            <c:numRef>
              <c:f>Скважина_расчет!$W$17:$W$37</c:f>
              <c:numCache>
                <c:formatCode>General</c:formatCode>
                <c:ptCount val="21"/>
                <c:pt idx="0">
                  <c:v>0</c:v>
                </c:pt>
                <c:pt idx="1">
                  <c:v>41.55</c:v>
                </c:pt>
                <c:pt idx="2">
                  <c:v>83.1</c:v>
                </c:pt>
                <c:pt idx="3">
                  <c:v>124.64999999999999</c:v>
                </c:pt>
                <c:pt idx="4">
                  <c:v>166.2</c:v>
                </c:pt>
                <c:pt idx="5">
                  <c:v>207.75</c:v>
                </c:pt>
                <c:pt idx="6">
                  <c:v>249.29999999999998</c:v>
                </c:pt>
                <c:pt idx="7">
                  <c:v>290.84999999999997</c:v>
                </c:pt>
                <c:pt idx="8">
                  <c:v>332.4</c:v>
                </c:pt>
                <c:pt idx="9">
                  <c:v>373.95</c:v>
                </c:pt>
                <c:pt idx="10">
                  <c:v>415.5</c:v>
                </c:pt>
                <c:pt idx="11">
                  <c:v>457.04999999999995</c:v>
                </c:pt>
                <c:pt idx="12">
                  <c:v>498.59999999999997</c:v>
                </c:pt>
                <c:pt idx="13">
                  <c:v>540.15</c:v>
                </c:pt>
                <c:pt idx="14">
                  <c:v>581.69999999999993</c:v>
                </c:pt>
                <c:pt idx="15">
                  <c:v>623.25</c:v>
                </c:pt>
                <c:pt idx="16">
                  <c:v>664.8</c:v>
                </c:pt>
                <c:pt idx="17">
                  <c:v>706.34999999999991</c:v>
                </c:pt>
                <c:pt idx="18">
                  <c:v>747.9</c:v>
                </c:pt>
                <c:pt idx="19">
                  <c:v>789.44999999999993</c:v>
                </c:pt>
                <c:pt idx="20">
                  <c:v>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layout>
            <c:manualLayout>
              <c:xMode val="edge"/>
              <c:yMode val="edge"/>
              <c:x val="5.5101655218788344E-3"/>
              <c:y val="0.393275693044305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015700667907236"/>
          <c:y val="0.93307170847653131"/>
          <c:w val="0.7506108432810743"/>
          <c:h val="5.29662777734790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Скважина_расчет!$Q$17:$Q$37</c:f>
              <c:numCache>
                <c:formatCode>General</c:formatCode>
                <c:ptCount val="21"/>
                <c:pt idx="0">
                  <c:v>22.286672329888155</c:v>
                </c:pt>
                <c:pt idx="1">
                  <c:v>24.354014605545256</c:v>
                </c:pt>
                <c:pt idx="2">
                  <c:v>26.403669344061569</c:v>
                </c:pt>
                <c:pt idx="3">
                  <c:v>28.425941259200759</c:v>
                </c:pt>
                <c:pt idx="4">
                  <c:v>30.418645219264679</c:v>
                </c:pt>
                <c:pt idx="5">
                  <c:v>32.381020802636101</c:v>
                </c:pt>
                <c:pt idx="6">
                  <c:v>34.329853762126838</c:v>
                </c:pt>
                <c:pt idx="7">
                  <c:v>36.039034057773058</c:v>
                </c:pt>
                <c:pt idx="8">
                  <c:v>15.676592850963672</c:v>
                </c:pt>
                <c:pt idx="9">
                  <c:v>15.723379515226709</c:v>
                </c:pt>
                <c:pt idx="10">
                  <c:v>15.893967028618814</c:v>
                </c:pt>
                <c:pt idx="11">
                  <c:v>15.966665104278233</c:v>
                </c:pt>
                <c:pt idx="12">
                  <c:v>15.993647407170473</c:v>
                </c:pt>
                <c:pt idx="13">
                  <c:v>15.997520676321036</c:v>
                </c:pt>
                <c:pt idx="14">
                  <c:v>15.999602785976863</c:v>
                </c:pt>
                <c:pt idx="15">
                  <c:v>16.00117823825466</c:v>
                </c:pt>
                <c:pt idx="16">
                  <c:v>16.002242691264055</c:v>
                </c:pt>
                <c:pt idx="17">
                  <c:v>16.002595827262866</c:v>
                </c:pt>
                <c:pt idx="18">
                  <c:v>16.002112427236526</c:v>
                </c:pt>
                <c:pt idx="19">
                  <c:v>16.00086493895277</c:v>
                </c:pt>
                <c:pt idx="20">
                  <c:v>16</c:v>
                </c:pt>
              </c:numCache>
            </c:numRef>
          </c:xVal>
          <c:yVal>
            <c:numRef>
              <c:f>Скважина_расчет!$N$17:$N$37</c:f>
              <c:numCache>
                <c:formatCode>General</c:formatCode>
                <c:ptCount val="21"/>
                <c:pt idx="0">
                  <c:v>0</c:v>
                </c:pt>
                <c:pt idx="1">
                  <c:v>122.5</c:v>
                </c:pt>
                <c:pt idx="2">
                  <c:v>245</c:v>
                </c:pt>
                <c:pt idx="3">
                  <c:v>367.5</c:v>
                </c:pt>
                <c:pt idx="4">
                  <c:v>490</c:v>
                </c:pt>
                <c:pt idx="5">
                  <c:v>612.5</c:v>
                </c:pt>
                <c:pt idx="6">
                  <c:v>735</c:v>
                </c:pt>
                <c:pt idx="7">
                  <c:v>830</c:v>
                </c:pt>
                <c:pt idx="8">
                  <c:v>831</c:v>
                </c:pt>
                <c:pt idx="9">
                  <c:v>857.5</c:v>
                </c:pt>
                <c:pt idx="10">
                  <c:v>980</c:v>
                </c:pt>
                <c:pt idx="11">
                  <c:v>1102.5</c:v>
                </c:pt>
                <c:pt idx="12">
                  <c:v>1225</c:v>
                </c:pt>
                <c:pt idx="13">
                  <c:v>1347.5</c:v>
                </c:pt>
                <c:pt idx="14">
                  <c:v>1470</c:v>
                </c:pt>
                <c:pt idx="15">
                  <c:v>1592.5</c:v>
                </c:pt>
                <c:pt idx="16">
                  <c:v>1715</c:v>
                </c:pt>
                <c:pt idx="17">
                  <c:v>1837.5</c:v>
                </c:pt>
                <c:pt idx="18">
                  <c:v>1960</c:v>
                </c:pt>
                <c:pt idx="19">
                  <c:v>2082.5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Скважина_расчет!$M$17:$M$37</c:f>
              <c:numCache>
                <c:formatCode>General</c:formatCode>
                <c:ptCount val="21"/>
                <c:pt idx="0">
                  <c:v>0</c:v>
                </c:pt>
                <c:pt idx="1">
                  <c:v>2.3384277652504863</c:v>
                </c:pt>
                <c:pt idx="2">
                  <c:v>4.6767696290728615</c:v>
                </c:pt>
                <c:pt idx="3">
                  <c:v>7.0148332475495323</c:v>
                </c:pt>
                <c:pt idx="4">
                  <c:v>9.3414285398026049</c:v>
                </c:pt>
                <c:pt idx="5">
                  <c:v>11.521080401228829</c:v>
                </c:pt>
                <c:pt idx="6">
                  <c:v>13.358112718777807</c:v>
                </c:pt>
                <c:pt idx="7">
                  <c:v>14.468388865295946</c:v>
                </c:pt>
                <c:pt idx="8">
                  <c:v>14.476925344289779</c:v>
                </c:pt>
                <c:pt idx="9">
                  <c:v>14.701753430292891</c:v>
                </c:pt>
                <c:pt idx="10">
                  <c:v>15.48629271604198</c:v>
                </c:pt>
                <c:pt idx="11">
                  <c:v>15.806223640664626</c:v>
                </c:pt>
                <c:pt idx="12">
                  <c:v>15.986141048735677</c:v>
                </c:pt>
                <c:pt idx="13">
                  <c:v>16.002285628336882</c:v>
                </c:pt>
                <c:pt idx="14">
                  <c:v>16.00652921799767</c:v>
                </c:pt>
                <c:pt idx="15">
                  <c:v>16.010224939131366</c:v>
                </c:pt>
                <c:pt idx="16">
                  <c:v>16.013963942973223</c:v>
                </c:pt>
                <c:pt idx="17">
                  <c:v>16.018370603276257</c:v>
                </c:pt>
                <c:pt idx="18">
                  <c:v>16.020811963161744</c:v>
                </c:pt>
                <c:pt idx="19">
                  <c:v>16.023678926213972</c:v>
                </c:pt>
                <c:pt idx="20">
                  <c:v>16</c:v>
                </c:pt>
              </c:numCache>
            </c:numRef>
          </c:xVal>
          <c:yVal>
            <c:numRef>
              <c:f>Скважина_расчет!$K$17:$K$37</c:f>
              <c:numCache>
                <c:formatCode>General</c:formatCode>
                <c:ptCount val="21"/>
                <c:pt idx="0">
                  <c:v>0</c:v>
                </c:pt>
                <c:pt idx="1">
                  <c:v>122.5</c:v>
                </c:pt>
                <c:pt idx="2">
                  <c:v>245</c:v>
                </c:pt>
                <c:pt idx="3">
                  <c:v>367.5</c:v>
                </c:pt>
                <c:pt idx="4">
                  <c:v>490</c:v>
                </c:pt>
                <c:pt idx="5">
                  <c:v>612.5</c:v>
                </c:pt>
                <c:pt idx="6">
                  <c:v>735</c:v>
                </c:pt>
                <c:pt idx="7">
                  <c:v>830</c:v>
                </c:pt>
                <c:pt idx="8">
                  <c:v>831</c:v>
                </c:pt>
                <c:pt idx="9">
                  <c:v>857.5</c:v>
                </c:pt>
                <c:pt idx="10">
                  <c:v>980</c:v>
                </c:pt>
                <c:pt idx="11">
                  <c:v>1102.5</c:v>
                </c:pt>
                <c:pt idx="12">
                  <c:v>1225</c:v>
                </c:pt>
                <c:pt idx="13">
                  <c:v>1347.5</c:v>
                </c:pt>
                <c:pt idx="14">
                  <c:v>1470</c:v>
                </c:pt>
                <c:pt idx="15">
                  <c:v>1592.5</c:v>
                </c:pt>
                <c:pt idx="16">
                  <c:v>1715</c:v>
                </c:pt>
                <c:pt idx="17">
                  <c:v>1837.5</c:v>
                </c:pt>
                <c:pt idx="18">
                  <c:v>1960</c:v>
                </c:pt>
                <c:pt idx="19">
                  <c:v>2082.5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Скважина_расчет!$J$17:$J$37</c:f>
              <c:numCache>
                <c:formatCode>General</c:formatCode>
                <c:ptCount val="21"/>
                <c:pt idx="0">
                  <c:v>16</c:v>
                </c:pt>
              </c:numCache>
            </c:numRef>
          </c:xVal>
          <c:yVal>
            <c:numRef>
              <c:f>Скважина_расчет!$H$17:$H$37</c:f>
              <c:numCache>
                <c:formatCode>General</c:formatCode>
                <c:ptCount val="21"/>
                <c:pt idx="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</a:t>
            </a:r>
            <a:r>
              <a:rPr lang="ru-RU" baseline="0"/>
              <a:t> смеси от глубины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Скважина_расчет!$T$17:$T$37</c:f>
              <c:numCache>
                <c:formatCode>General</c:formatCode>
                <c:ptCount val="21"/>
                <c:pt idx="0">
                  <c:v>723.54651603638013</c:v>
                </c:pt>
                <c:pt idx="1">
                  <c:v>678.07108171865673</c:v>
                </c:pt>
                <c:pt idx="2">
                  <c:v>648.37852272871828</c:v>
                </c:pt>
                <c:pt idx="3">
                  <c:v>626.81587563891856</c:v>
                </c:pt>
                <c:pt idx="4">
                  <c:v>608.12254940345838</c:v>
                </c:pt>
                <c:pt idx="5">
                  <c:v>588.17471552789743</c:v>
                </c:pt>
                <c:pt idx="6">
                  <c:v>565.42230339491539</c:v>
                </c:pt>
                <c:pt idx="7">
                  <c:v>539.70358931121359</c:v>
                </c:pt>
                <c:pt idx="8">
                  <c:v>822.10104081743577</c:v>
                </c:pt>
                <c:pt idx="9">
                  <c:v>779.73514694466826</c:v>
                </c:pt>
                <c:pt idx="10">
                  <c:v>770.14495820457807</c:v>
                </c:pt>
                <c:pt idx="11">
                  <c:v>767.08816393998586</c:v>
                </c:pt>
                <c:pt idx="12">
                  <c:v>766.57746718908538</c:v>
                </c:pt>
                <c:pt idx="13">
                  <c:v>766.39219212634066</c:v>
                </c:pt>
                <c:pt idx="14">
                  <c:v>766.25429579223646</c:v>
                </c:pt>
                <c:pt idx="15">
                  <c:v>766.19404540003518</c:v>
                </c:pt>
                <c:pt idx="16">
                  <c:v>766.23944652997261</c:v>
                </c:pt>
                <c:pt idx="17">
                  <c:v>766.40868711269013</c:v>
                </c:pt>
                <c:pt idx="18">
                  <c:v>766.69027022962223</c:v>
                </c:pt>
                <c:pt idx="19">
                  <c:v>767.09811184597686</c:v>
                </c:pt>
                <c:pt idx="20">
                  <c:v>767.13082595383207</c:v>
                </c:pt>
              </c:numCache>
            </c:numRef>
          </c:xVal>
          <c:yVal>
            <c:numRef>
              <c:f>Скважина_расчет!$Y$17:$Y$37</c:f>
              <c:numCache>
                <c:formatCode>General</c:formatCode>
                <c:ptCount val="21"/>
                <c:pt idx="0">
                  <c:v>0</c:v>
                </c:pt>
                <c:pt idx="1">
                  <c:v>110.25</c:v>
                </c:pt>
                <c:pt idx="2">
                  <c:v>220.5</c:v>
                </c:pt>
                <c:pt idx="3">
                  <c:v>330.75</c:v>
                </c:pt>
                <c:pt idx="4">
                  <c:v>441</c:v>
                </c:pt>
                <c:pt idx="5">
                  <c:v>551.25</c:v>
                </c:pt>
                <c:pt idx="6">
                  <c:v>661.5</c:v>
                </c:pt>
                <c:pt idx="7">
                  <c:v>771.75</c:v>
                </c:pt>
                <c:pt idx="8">
                  <c:v>882</c:v>
                </c:pt>
                <c:pt idx="9">
                  <c:v>992.25</c:v>
                </c:pt>
                <c:pt idx="10">
                  <c:v>1102.5</c:v>
                </c:pt>
                <c:pt idx="11">
                  <c:v>1212.75</c:v>
                </c:pt>
                <c:pt idx="12">
                  <c:v>1323</c:v>
                </c:pt>
                <c:pt idx="13">
                  <c:v>1433.25</c:v>
                </c:pt>
                <c:pt idx="14">
                  <c:v>1543.5</c:v>
                </c:pt>
                <c:pt idx="15">
                  <c:v>1653.75</c:v>
                </c:pt>
                <c:pt idx="16">
                  <c:v>1764</c:v>
                </c:pt>
                <c:pt idx="17">
                  <c:v>1874.25</c:v>
                </c:pt>
                <c:pt idx="18">
                  <c:v>1984.5</c:v>
                </c:pt>
                <c:pt idx="19">
                  <c:v>2094.75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2-44D7-9C94-88FCD45A0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Вязоксть,</a:t>
                </a:r>
                <a:r>
                  <a:rPr lang="ru-RU" baseline="0"/>
                  <a:t> сПуаз</a:t>
                </a:r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свойств в насосе по ступеням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Скважина_расчет!$AF$58</c:f>
              <c:strCache>
                <c:ptCount val="1"/>
                <c:pt idx="0">
                  <c:v>Pressure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Скважина_расчет!$AF$60:$AF$101</c:f>
              <c:numCache>
                <c:formatCode>General</c:formatCode>
                <c:ptCount val="42"/>
                <c:pt idx="0">
                  <c:v>30.510971442197199</c:v>
                </c:pt>
                <c:pt idx="1">
                  <c:v>32.261747990176239</c:v>
                </c:pt>
                <c:pt idx="2">
                  <c:v>35.929313970327847</c:v>
                </c:pt>
                <c:pt idx="3">
                  <c:v>37.708383008564688</c:v>
                </c:pt>
                <c:pt idx="4">
                  <c:v>39.498718930545884</c:v>
                </c:pt>
                <c:pt idx="5">
                  <c:v>41.2992514783761</c:v>
                </c:pt>
                <c:pt idx="6">
                  <c:v>43.109985198889333</c:v>
                </c:pt>
                <c:pt idx="7">
                  <c:v>44.929755953992753</c:v>
                </c:pt>
                <c:pt idx="8">
                  <c:v>46.756184195257873</c:v>
                </c:pt>
                <c:pt idx="9">
                  <c:v>48.588600184808975</c:v>
                </c:pt>
                <c:pt idx="10">
                  <c:v>50.42638539039951</c:v>
                </c:pt>
                <c:pt idx="11">
                  <c:v>52.269455776440068</c:v>
                </c:pt>
                <c:pt idx="12">
                  <c:v>54.117356710357342</c:v>
                </c:pt>
                <c:pt idx="13">
                  <c:v>55.968729280585087</c:v>
                </c:pt>
                <c:pt idx="14">
                  <c:v>57.823211941784976</c:v>
                </c:pt>
                <c:pt idx="15">
                  <c:v>59.680471308550352</c:v>
                </c:pt>
                <c:pt idx="16">
                  <c:v>61.540409483265009</c:v>
                </c:pt>
                <c:pt idx="17">
                  <c:v>63.40287367208029</c:v>
                </c:pt>
                <c:pt idx="18">
                  <c:v>65.267121554321776</c:v>
                </c:pt>
                <c:pt idx="19">
                  <c:v>67.132980166596013</c:v>
                </c:pt>
                <c:pt idx="20">
                  <c:v>69.000296545123817</c:v>
                </c:pt>
                <c:pt idx="21">
                  <c:v>70.86903244597876</c:v>
                </c:pt>
                <c:pt idx="22">
                  <c:v>72.739233775806937</c:v>
                </c:pt>
                <c:pt idx="23">
                  <c:v>74.610532134395555</c:v>
                </c:pt>
                <c:pt idx="24">
                  <c:v>76.482898858916812</c:v>
                </c:pt>
                <c:pt idx="25">
                  <c:v>78.356321939278089</c:v>
                </c:pt>
                <c:pt idx="26">
                  <c:v>80.230873794168332</c:v>
                </c:pt>
                <c:pt idx="27">
                  <c:v>82.106845294386417</c:v>
                </c:pt>
                <c:pt idx="28">
                  <c:v>83.984026935544449</c:v>
                </c:pt>
                <c:pt idx="29">
                  <c:v>85.862485866495476</c:v>
                </c:pt>
                <c:pt idx="30">
                  <c:v>87.742288487110443</c:v>
                </c:pt>
                <c:pt idx="31">
                  <c:v>89.623560569883665</c:v>
                </c:pt>
                <c:pt idx="32">
                  <c:v>91.506768762217419</c:v>
                </c:pt>
                <c:pt idx="33">
                  <c:v>93.391567546623875</c:v>
                </c:pt>
                <c:pt idx="34">
                  <c:v>95.278014545885526</c:v>
                </c:pt>
                <c:pt idx="35">
                  <c:v>97.166166138626508</c:v>
                </c:pt>
                <c:pt idx="36">
                  <c:v>99.056114548262215</c:v>
                </c:pt>
                <c:pt idx="37">
                  <c:v>100.94846625349665</c:v>
                </c:pt>
                <c:pt idx="38">
                  <c:v>102.84273080977113</c:v>
                </c:pt>
                <c:pt idx="39">
                  <c:v>104.73895637641139</c:v>
                </c:pt>
                <c:pt idx="40">
                  <c:v>106.63718996417485</c:v>
                </c:pt>
                <c:pt idx="41">
                  <c:v>108.53747743676156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CF-42FD-9D77-5DA18A9C77F9}"/>
            </c:ext>
          </c:extLst>
        </c:ser>
        <c:ser>
          <c:idx val="3"/>
          <c:order val="3"/>
          <c:tx>
            <c:strRef>
              <c:f>Скважина_расчет!$AH$58</c:f>
              <c:strCache>
                <c:ptCount val="1"/>
                <c:pt idx="0">
                  <c:v>Temp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Скважина_расчет!$AH$60:$AH$101</c:f>
              <c:numCache>
                <c:formatCode>General</c:formatCode>
                <c:ptCount val="42"/>
                <c:pt idx="0">
                  <c:v>15.764156206639354</c:v>
                </c:pt>
                <c:pt idx="1">
                  <c:v>16.461531649126464</c:v>
                </c:pt>
                <c:pt idx="2">
                  <c:v>17.804027097645335</c:v>
                </c:pt>
                <c:pt idx="3">
                  <c:v>18.401712003043549</c:v>
                </c:pt>
                <c:pt idx="4">
                  <c:v>18.98211599937764</c:v>
                </c:pt>
                <c:pt idx="5">
                  <c:v>19.546998753939171</c:v>
                </c:pt>
                <c:pt idx="6">
                  <c:v>20.096448854918389</c:v>
                </c:pt>
                <c:pt idx="7">
                  <c:v>20.63227180476736</c:v>
                </c:pt>
                <c:pt idx="8">
                  <c:v>21.158049323961027</c:v>
                </c:pt>
                <c:pt idx="9">
                  <c:v>21.674769635826891</c:v>
                </c:pt>
                <c:pt idx="10">
                  <c:v>22.183335532447789</c:v>
                </c:pt>
                <c:pt idx="11">
                  <c:v>22.683815710540379</c:v>
                </c:pt>
                <c:pt idx="12">
                  <c:v>23.17680630325734</c:v>
                </c:pt>
                <c:pt idx="13">
                  <c:v>23.664329801316242</c:v>
                </c:pt>
                <c:pt idx="14">
                  <c:v>24.146884833036836</c:v>
                </c:pt>
                <c:pt idx="15">
                  <c:v>24.624928763093642</c:v>
                </c:pt>
                <c:pt idx="16">
                  <c:v>25.098521767504771</c:v>
                </c:pt>
                <c:pt idx="17">
                  <c:v>25.567777449469236</c:v>
                </c:pt>
                <c:pt idx="18">
                  <c:v>26.033869169560418</c:v>
                </c:pt>
                <c:pt idx="19">
                  <c:v>26.497031272787911</c:v>
                </c:pt>
                <c:pt idx="20">
                  <c:v>26.957471836126867</c:v>
                </c:pt>
                <c:pt idx="21">
                  <c:v>27.415184968999643</c:v>
                </c:pt>
                <c:pt idx="22">
                  <c:v>27.869994487658609</c:v>
                </c:pt>
                <c:pt idx="23">
                  <c:v>28.322592290602969</c:v>
                </c:pt>
                <c:pt idx="24">
                  <c:v>28.773029292979849</c:v>
                </c:pt>
                <c:pt idx="25">
                  <c:v>29.221336185103596</c:v>
                </c:pt>
                <c:pt idx="26">
                  <c:v>29.667392497433557</c:v>
                </c:pt>
                <c:pt idx="27">
                  <c:v>30.110706298428962</c:v>
                </c:pt>
                <c:pt idx="28">
                  <c:v>30.551771337527416</c:v>
                </c:pt>
                <c:pt idx="29">
                  <c:v>30.990524578071501</c:v>
                </c:pt>
                <c:pt idx="30">
                  <c:v>31.426904017895115</c:v>
                </c:pt>
                <c:pt idx="31">
                  <c:v>31.860747670181379</c:v>
                </c:pt>
                <c:pt idx="32">
                  <c:v>32.291347450090569</c:v>
                </c:pt>
                <c:pt idx="33">
                  <c:v>32.719349022891905</c:v>
                </c:pt>
                <c:pt idx="34">
                  <c:v>33.144701875991053</c:v>
                </c:pt>
                <c:pt idx="35">
                  <c:v>33.56735714597059</c:v>
                </c:pt>
                <c:pt idx="36">
                  <c:v>33.98721093596766</c:v>
                </c:pt>
                <c:pt idx="37">
                  <c:v>34.403391748156345</c:v>
                </c:pt>
                <c:pt idx="38">
                  <c:v>34.816701657149935</c:v>
                </c:pt>
                <c:pt idx="39">
                  <c:v>35.227102712251444</c:v>
                </c:pt>
                <c:pt idx="40">
                  <c:v>35.634558483166394</c:v>
                </c:pt>
                <c:pt idx="41">
                  <c:v>36.039034057773058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CCF-42FD-9D77-5DA18A9C7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97032"/>
        <c:axId val="491688832"/>
      </c:scatterChart>
      <c:scatterChart>
        <c:scatterStyle val="smoothMarker"/>
        <c:varyColors val="0"/>
        <c:ser>
          <c:idx val="0"/>
          <c:order val="0"/>
          <c:tx>
            <c:strRef>
              <c:f>Скважина_расчет!$AE$58</c:f>
              <c:strCache>
                <c:ptCount val="1"/>
                <c:pt idx="0">
                  <c:v>PowerFluid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Скважина_расчет!$AE$60:$AE$101</c:f>
              <c:numCache>
                <c:formatCode>General</c:formatCode>
                <c:ptCount val="42"/>
                <c:pt idx="0">
                  <c:v>30.393762084937762</c:v>
                </c:pt>
                <c:pt idx="1">
                  <c:v>38.489424613254037</c:v>
                </c:pt>
                <c:pt idx="2">
                  <c:v>320.12498937597883</c:v>
                </c:pt>
                <c:pt idx="3">
                  <c:v>323.45716522111474</c:v>
                </c:pt>
                <c:pt idx="4">
                  <c:v>325.85201254826518</c:v>
                </c:pt>
                <c:pt idx="5">
                  <c:v>328.00645340143916</c:v>
                </c:pt>
                <c:pt idx="6">
                  <c:v>329.89490654555937</c:v>
                </c:pt>
                <c:pt idx="7">
                  <c:v>331.54744377294435</c:v>
                </c:pt>
                <c:pt idx="8">
                  <c:v>333.02577818822482</c:v>
                </c:pt>
                <c:pt idx="9">
                  <c:v>334.34711090514236</c:v>
                </c:pt>
                <c:pt idx="10">
                  <c:v>335.52719860154258</c:v>
                </c:pt>
                <c:pt idx="11">
                  <c:v>336.56723593154726</c:v>
                </c:pt>
                <c:pt idx="12">
                  <c:v>337.47762846042355</c:v>
                </c:pt>
                <c:pt idx="13">
                  <c:v>338.29368653994067</c:v>
                </c:pt>
                <c:pt idx="14">
                  <c:v>339.0244996019905</c:v>
                </c:pt>
                <c:pt idx="15">
                  <c:v>339.67860973270848</c:v>
                </c:pt>
                <c:pt idx="16">
                  <c:v>340.25828299062613</c:v>
                </c:pt>
                <c:pt idx="17">
                  <c:v>340.76807488453676</c:v>
                </c:pt>
                <c:pt idx="18">
                  <c:v>341.22961083426969</c:v>
                </c:pt>
                <c:pt idx="19">
                  <c:v>341.64904921930469</c:v>
                </c:pt>
                <c:pt idx="20">
                  <c:v>342.03234348831842</c:v>
                </c:pt>
                <c:pt idx="21">
                  <c:v>342.38349860788009</c:v>
                </c:pt>
                <c:pt idx="22">
                  <c:v>342.70762773644907</c:v>
                </c:pt>
                <c:pt idx="23">
                  <c:v>343.01713222887628</c:v>
                </c:pt>
                <c:pt idx="24">
                  <c:v>343.31700385625584</c:v>
                </c:pt>
                <c:pt idx="25">
                  <c:v>343.61213552001726</c:v>
                </c:pt>
                <c:pt idx="26">
                  <c:v>343.9077648133985</c:v>
                </c:pt>
                <c:pt idx="27">
                  <c:v>344.2126421466524</c:v>
                </c:pt>
                <c:pt idx="28">
                  <c:v>344.53010933307297</c:v>
                </c:pt>
                <c:pt idx="29">
                  <c:v>344.8610454123172</c:v>
                </c:pt>
                <c:pt idx="30">
                  <c:v>345.20564429772759</c:v>
                </c:pt>
                <c:pt idx="31">
                  <c:v>345.56407733627429</c:v>
                </c:pt>
                <c:pt idx="32">
                  <c:v>345.93896330655389</c:v>
                </c:pt>
                <c:pt idx="33">
                  <c:v>346.32615561121207</c:v>
                </c:pt>
                <c:pt idx="34">
                  <c:v>346.72531621186334</c:v>
                </c:pt>
                <c:pt idx="35">
                  <c:v>347.13610856229701</c:v>
                </c:pt>
                <c:pt idx="36">
                  <c:v>347.55841527677484</c:v>
                </c:pt>
                <c:pt idx="37">
                  <c:v>347.99482521456497</c:v>
                </c:pt>
                <c:pt idx="38">
                  <c:v>348.44155495134572</c:v>
                </c:pt>
                <c:pt idx="39">
                  <c:v>348.8982829170975</c:v>
                </c:pt>
                <c:pt idx="40">
                  <c:v>349.36469053095107</c:v>
                </c:pt>
                <c:pt idx="41">
                  <c:v>349.84046222023204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CF-42FD-9D77-5DA18A9C77F9}"/>
            </c:ext>
          </c:extLst>
        </c:ser>
        <c:ser>
          <c:idx val="2"/>
          <c:order val="2"/>
          <c:tx>
            <c:strRef>
              <c:f>Скважина_расчет!$AG$58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Скважина_расчет!$AG$60:$AG$101</c:f>
              <c:numCache>
                <c:formatCode>General</c:formatCode>
                <c:ptCount val="42"/>
                <c:pt idx="0">
                  <c:v>127.49371585560687</c:v>
                </c:pt>
                <c:pt idx="1">
                  <c:v>124.3481085757726</c:v>
                </c:pt>
                <c:pt idx="2">
                  <c:v>124.45871839219443</c:v>
                </c:pt>
                <c:pt idx="3">
                  <c:v>124.54370187128856</c:v>
                </c:pt>
                <c:pt idx="4">
                  <c:v>124.60972609286462</c:v>
                </c:pt>
                <c:pt idx="5">
                  <c:v>124.67214692324505</c:v>
                </c:pt>
                <c:pt idx="6">
                  <c:v>124.7305806912866</c:v>
                </c:pt>
                <c:pt idx="7">
                  <c:v>124.78552185329089</c:v>
                </c:pt>
                <c:pt idx="8">
                  <c:v>124.83789423764642</c:v>
                </c:pt>
                <c:pt idx="9">
                  <c:v>124.88795252828673</c:v>
                </c:pt>
                <c:pt idx="10">
                  <c:v>124.93592773364016</c:v>
                </c:pt>
                <c:pt idx="11">
                  <c:v>124.981834975769</c:v>
                </c:pt>
                <c:pt idx="12">
                  <c:v>125.02582000743945</c:v>
                </c:pt>
                <c:pt idx="13">
                  <c:v>125.06839552363532</c:v>
                </c:pt>
                <c:pt idx="14">
                  <c:v>125.10968490201381</c:v>
                </c:pt>
                <c:pt idx="15">
                  <c:v>125.14980136817857</c:v>
                </c:pt>
                <c:pt idx="16">
                  <c:v>125.18875451865567</c:v>
                </c:pt>
                <c:pt idx="17">
                  <c:v>125.22656812974802</c:v>
                </c:pt>
                <c:pt idx="18">
                  <c:v>125.26354910808115</c:v>
                </c:pt>
                <c:pt idx="19">
                  <c:v>125.29976065932208</c:v>
                </c:pt>
                <c:pt idx="20">
                  <c:v>125.33526083755456</c:v>
                </c:pt>
                <c:pt idx="21">
                  <c:v>125.37005518140977</c:v>
                </c:pt>
                <c:pt idx="22">
                  <c:v>125.40411650575314</c:v>
                </c:pt>
                <c:pt idx="23">
                  <c:v>125.43763915513085</c:v>
                </c:pt>
                <c:pt idx="24">
                  <c:v>125.47065378711659</c:v>
                </c:pt>
                <c:pt idx="25">
                  <c:v>125.50318799908378</c:v>
                </c:pt>
                <c:pt idx="26">
                  <c:v>125.53524058800315</c:v>
                </c:pt>
                <c:pt idx="27">
                  <c:v>125.56675371412932</c:v>
                </c:pt>
                <c:pt idx="28">
                  <c:v>125.59786061874016</c:v>
                </c:pt>
                <c:pt idx="29">
                  <c:v>125.62857214920005</c:v>
                </c:pt>
                <c:pt idx="30">
                  <c:v>125.6588983699142</c:v>
                </c:pt>
                <c:pt idx="31">
                  <c:v>125.68883417147345</c:v>
                </c:pt>
                <c:pt idx="32">
                  <c:v>125.71830347063617</c:v>
                </c:pt>
                <c:pt idx="33">
                  <c:v>125.74742071594302</c:v>
                </c:pt>
                <c:pt idx="34">
                  <c:v>125.77619252051433</c:v>
                </c:pt>
                <c:pt idx="35">
                  <c:v>125.804625096915</c:v>
                </c:pt>
                <c:pt idx="36">
                  <c:v>125.8327176966546</c:v>
                </c:pt>
                <c:pt idx="37">
                  <c:v>125.86038489024922</c:v>
                </c:pt>
                <c:pt idx="38">
                  <c:v>125.88773313407216</c:v>
                </c:pt>
                <c:pt idx="39">
                  <c:v>125.91476654661314</c:v>
                </c:pt>
                <c:pt idx="40">
                  <c:v>125.94148903270872</c:v>
                </c:pt>
                <c:pt idx="41">
                  <c:v>125.96790428559972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CF-42FD-9D77-5DA18A9C7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78008"/>
        <c:axId val="491699328"/>
      </c:scatterChart>
      <c:valAx>
        <c:axId val="491697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Ступени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88832"/>
        <c:crosses val="autoZero"/>
        <c:crossBetween val="midCat"/>
      </c:valAx>
      <c:valAx>
        <c:axId val="49168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97032"/>
        <c:crosses val="autoZero"/>
        <c:crossBetween val="midCat"/>
      </c:valAx>
      <c:valAx>
        <c:axId val="491699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78008"/>
        <c:crosses val="max"/>
        <c:crossBetween val="midCat"/>
      </c:valAx>
      <c:valAx>
        <c:axId val="491678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1699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свойств в насосе по ступеням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Скважина_расчет!$AB$58</c:f>
              <c:strCache>
                <c:ptCount val="1"/>
                <c:pt idx="0">
                  <c:v>КПД с эмульсией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Скважина_расчет!$AB$60:$AB$101</c:f>
              <c:numCache>
                <c:formatCode>General</c:formatCode>
                <c:ptCount val="42"/>
                <c:pt idx="0">
                  <c:v>0.10505733858437059</c:v>
                </c:pt>
                <c:pt idx="1">
                  <c:v>0.11015037781237763</c:v>
                </c:pt>
                <c:pt idx="2">
                  <c:v>0.11534544860895264</c:v>
                </c:pt>
                <c:pt idx="3">
                  <c:v>0.11820091446379601</c:v>
                </c:pt>
                <c:pt idx="4">
                  <c:v>0.12075408148358519</c:v>
                </c:pt>
                <c:pt idx="5">
                  <c:v>0.12310310156760146</c:v>
                </c:pt>
                <c:pt idx="6">
                  <c:v>0.12527127639922225</c:v>
                </c:pt>
                <c:pt idx="7">
                  <c:v>0.12728495570351744</c:v>
                </c:pt>
                <c:pt idx="8">
                  <c:v>0.12918339618872679</c:v>
                </c:pt>
                <c:pt idx="9">
                  <c:v>0.13097582050366008</c:v>
                </c:pt>
                <c:pt idx="10">
                  <c:v>0.13267019781507877</c:v>
                </c:pt>
                <c:pt idx="11">
                  <c:v>0.13426351191822311</c:v>
                </c:pt>
                <c:pt idx="12">
                  <c:v>0.13575805745197458</c:v>
                </c:pt>
                <c:pt idx="13">
                  <c:v>0.13717692520867641</c:v>
                </c:pt>
                <c:pt idx="14">
                  <c:v>0.13852445884447454</c:v>
                </c:pt>
                <c:pt idx="15">
                  <c:v>0.13980477474073552</c:v>
                </c:pt>
                <c:pt idx="16">
                  <c:v>0.14101597792958612</c:v>
                </c:pt>
                <c:pt idx="17">
                  <c:v>0.14215670900147367</c:v>
                </c:pt>
                <c:pt idx="18">
                  <c:v>0.14324441228166426</c:v>
                </c:pt>
                <c:pt idx="19">
                  <c:v>0.14428228394440798</c:v>
                </c:pt>
                <c:pt idx="20">
                  <c:v>0.14527344576975387</c:v>
                </c:pt>
                <c:pt idx="21">
                  <c:v>0.14621780592744246</c:v>
                </c:pt>
                <c:pt idx="22">
                  <c:v>0.14711363014132975</c:v>
                </c:pt>
                <c:pt idx="23">
                  <c:v>0.14797438956019435</c:v>
                </c:pt>
                <c:pt idx="24">
                  <c:v>0.14880287362174205</c:v>
                </c:pt>
                <c:pt idx="25">
                  <c:v>0.14960184127624096</c:v>
                </c:pt>
                <c:pt idx="26">
                  <c:v>0.1503726562834635</c:v>
                </c:pt>
                <c:pt idx="27">
                  <c:v>0.15111488907191642</c:v>
                </c:pt>
                <c:pt idx="28">
                  <c:v>0.15183814119669564</c:v>
                </c:pt>
                <c:pt idx="29">
                  <c:v>0.15254468636855215</c:v>
                </c:pt>
                <c:pt idx="30">
                  <c:v>0.15323662233287635</c:v>
                </c:pt>
                <c:pt idx="31">
                  <c:v>0.15391545512864596</c:v>
                </c:pt>
                <c:pt idx="32">
                  <c:v>0.1545811741584209</c:v>
                </c:pt>
                <c:pt idx="33">
                  <c:v>0.15523866516550983</c:v>
                </c:pt>
                <c:pt idx="34">
                  <c:v>0.15588912257911719</c:v>
                </c:pt>
                <c:pt idx="35">
                  <c:v>0.15653365329484917</c:v>
                </c:pt>
                <c:pt idx="36">
                  <c:v>0.15717320560632667</c:v>
                </c:pt>
                <c:pt idx="37">
                  <c:v>0.1578080810005271</c:v>
                </c:pt>
                <c:pt idx="38">
                  <c:v>0.15844047636072336</c:v>
                </c:pt>
                <c:pt idx="39">
                  <c:v>0.15907104842456826</c:v>
                </c:pt>
                <c:pt idx="40">
                  <c:v>0.15970040838959176</c:v>
                </c:pt>
                <c:pt idx="41">
                  <c:v>0.16032912234991054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DF-400E-8E95-374CC42277F7}"/>
            </c:ext>
          </c:extLst>
        </c:ser>
        <c:ser>
          <c:idx val="1"/>
          <c:order val="1"/>
          <c:tx>
            <c:strRef>
              <c:f>Скважина_расчет!$AC$58</c:f>
              <c:strCache>
                <c:ptCount val="1"/>
                <c:pt idx="0">
                  <c:v>GasFraction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Скважина_расчет!$AC$60:$AC$101</c:f>
              <c:numCache>
                <c:formatCode>General</c:formatCode>
                <c:ptCount val="42"/>
                <c:pt idx="0">
                  <c:v>2.6971788755061829E-2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DF-400E-8E95-374CC4227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97032"/>
        <c:axId val="491688832"/>
      </c:scatterChart>
      <c:scatterChart>
        <c:scatterStyle val="smoothMarker"/>
        <c:varyColors val="0"/>
        <c:ser>
          <c:idx val="2"/>
          <c:order val="2"/>
          <c:tx>
            <c:strRef>
              <c:f>Скважина_расчет!$AD$58</c:f>
              <c:strCache>
                <c:ptCount val="1"/>
                <c:pt idx="0">
                  <c:v>PowerESP  с эмульсией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Скважина_расчет!$AD$60:$AD$101</c:f>
              <c:numCache>
                <c:formatCode>General</c:formatCode>
                <c:ptCount val="42"/>
                <c:pt idx="0">
                  <c:v>289.30641585336571</c:v>
                </c:pt>
                <c:pt idx="1">
                  <c:v>336.89009258591159</c:v>
                </c:pt>
                <c:pt idx="2">
                  <c:v>2632.1619435636003</c:v>
                </c:pt>
                <c:pt idx="3">
                  <c:v>2537.3379336718917</c:v>
                </c:pt>
                <c:pt idx="4">
                  <c:v>2470.637306947227</c:v>
                </c:pt>
                <c:pt idx="5">
                  <c:v>2411.480463656485</c:v>
                </c:pt>
                <c:pt idx="6">
                  <c:v>2360.3296196520946</c:v>
                </c:pt>
                <c:pt idx="7">
                  <c:v>2316.0539401031961</c:v>
                </c:pt>
                <c:pt idx="8">
                  <c:v>2276.7361424416708</c:v>
                </c:pt>
                <c:pt idx="9">
                  <c:v>2241.8126496433929</c:v>
                </c:pt>
                <c:pt idx="10">
                  <c:v>2210.7776350435438</c:v>
                </c:pt>
                <c:pt idx="11">
                  <c:v>2183.5295400481705</c:v>
                </c:pt>
                <c:pt idx="12">
                  <c:v>2159.7200494440835</c:v>
                </c:pt>
                <c:pt idx="13">
                  <c:v>2138.3768443449526</c:v>
                </c:pt>
                <c:pt idx="14">
                  <c:v>2119.2409925646689</c:v>
                </c:pt>
                <c:pt idx="15">
                  <c:v>2102.0730402333184</c:v>
                </c:pt>
                <c:pt idx="16">
                  <c:v>2086.7970628801813</c:v>
                </c:pt>
                <c:pt idx="17">
                  <c:v>2073.2813434586133</c:v>
                </c:pt>
                <c:pt idx="18">
                  <c:v>2060.9747232669988</c:v>
                </c:pt>
                <c:pt idx="19">
                  <c:v>2049.7208736848602</c:v>
                </c:pt>
                <c:pt idx="20">
                  <c:v>2039.3704635648342</c:v>
                </c:pt>
                <c:pt idx="21">
                  <c:v>2029.8253326044533</c:v>
                </c:pt>
                <c:pt idx="22">
                  <c:v>2020.9658246983081</c:v>
                </c:pt>
                <c:pt idx="23">
                  <c:v>2012.4886494685154</c:v>
                </c:pt>
                <c:pt idx="24">
                  <c:v>2004.2769295512269</c:v>
                </c:pt>
                <c:pt idx="25">
                  <c:v>1996.2170588758524</c:v>
                </c:pt>
                <c:pt idx="26">
                  <c:v>1988.1912333170208</c:v>
                </c:pt>
                <c:pt idx="27">
                  <c:v>1980.010311166302</c:v>
                </c:pt>
                <c:pt idx="28">
                  <c:v>1971.5894170004005</c:v>
                </c:pt>
                <c:pt idx="29">
                  <c:v>1962.9104082906936</c:v>
                </c:pt>
                <c:pt idx="30">
                  <c:v>1953.9706153787542</c:v>
                </c:pt>
                <c:pt idx="31">
                  <c:v>1944.7699285453707</c:v>
                </c:pt>
                <c:pt idx="32">
                  <c:v>1935.2645510779346</c:v>
                </c:pt>
                <c:pt idx="33">
                  <c:v>1925.5355793902734</c:v>
                </c:pt>
                <c:pt idx="34">
                  <c:v>1915.5922568404703</c:v>
                </c:pt>
                <c:pt idx="35">
                  <c:v>1905.4437704678501</c:v>
                </c:pt>
                <c:pt idx="36">
                  <c:v>1895.0955719975066</c:v>
                </c:pt>
                <c:pt idx="37">
                  <c:v>1884.5090431886827</c:v>
                </c:pt>
                <c:pt idx="38">
                  <c:v>1873.752912708514</c:v>
                </c:pt>
                <c:pt idx="39">
                  <c:v>1862.8358062005034</c:v>
                </c:pt>
                <c:pt idx="40">
                  <c:v>1851.7662394691356</c:v>
                </c:pt>
                <c:pt idx="41">
                  <c:v>1840.5526178463042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7DF-400E-8E95-374CC42277F7}"/>
            </c:ext>
          </c:extLst>
        </c:ser>
        <c:ser>
          <c:idx val="3"/>
          <c:order val="3"/>
          <c:tx>
            <c:strRef>
              <c:f>Скважина_расчет!$AI$58</c:f>
              <c:strCache>
                <c:ptCount val="1"/>
                <c:pt idx="0">
                  <c:v>MuMix  с эмульсией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Скважина_расчет!$AI$60:$AI$101</c:f>
              <c:numCache>
                <c:formatCode>General</c:formatCode>
                <c:ptCount val="42"/>
                <c:pt idx="0">
                  <c:v>1065.2576830848093</c:v>
                </c:pt>
                <c:pt idx="1">
                  <c:v>1008.3479105637548</c:v>
                </c:pt>
                <c:pt idx="2">
                  <c:v>945.72163058413673</c:v>
                </c:pt>
                <c:pt idx="3">
                  <c:v>900.09416505773754</c:v>
                </c:pt>
                <c:pt idx="4">
                  <c:v>867.14819810224162</c:v>
                </c:pt>
                <c:pt idx="5">
                  <c:v>837.43584824532263</c:v>
                </c:pt>
                <c:pt idx="6">
                  <c:v>811.31473930742925</c:v>
                </c:pt>
                <c:pt idx="7">
                  <c:v>788.38678339496539</c:v>
                </c:pt>
                <c:pt idx="8">
                  <c:v>767.81924403945311</c:v>
                </c:pt>
                <c:pt idx="9">
                  <c:v>749.37992360003511</c:v>
                </c:pt>
                <c:pt idx="10">
                  <c:v>732.85550781185088</c:v>
                </c:pt>
                <c:pt idx="11">
                  <c:v>718.22924290387982</c:v>
                </c:pt>
                <c:pt idx="12">
                  <c:v>705.35862946270242</c:v>
                </c:pt>
                <c:pt idx="13">
                  <c:v>693.76433789241719</c:v>
                </c:pt>
                <c:pt idx="14">
                  <c:v>683.32262074656217</c:v>
                </c:pt>
                <c:pt idx="15">
                  <c:v>673.91732047724565</c:v>
                </c:pt>
                <c:pt idx="16">
                  <c:v>665.51723142670653</c:v>
                </c:pt>
                <c:pt idx="17">
                  <c:v>658.0606997767145</c:v>
                </c:pt>
                <c:pt idx="18">
                  <c:v>651.25621862491926</c:v>
                </c:pt>
                <c:pt idx="19">
                  <c:v>645.02136699318555</c:v>
                </c:pt>
                <c:pt idx="20">
                  <c:v>639.27670334169534</c:v>
                </c:pt>
                <c:pt idx="21">
                  <c:v>633.96977803648679</c:v>
                </c:pt>
                <c:pt idx="22">
                  <c:v>629.03504301896669</c:v>
                </c:pt>
                <c:pt idx="23">
                  <c:v>624.30623250486542</c:v>
                </c:pt>
                <c:pt idx="24">
                  <c:v>619.71814150166824</c:v>
                </c:pt>
                <c:pt idx="25">
                  <c:v>615.20705327832718</c:v>
                </c:pt>
                <c:pt idx="26">
                  <c:v>610.70595338512817</c:v>
                </c:pt>
                <c:pt idx="27">
                  <c:v>606.10519205065441</c:v>
                </c:pt>
                <c:pt idx="28">
                  <c:v>601.35797673127036</c:v>
                </c:pt>
                <c:pt idx="29">
                  <c:v>596.45321123265478</c:v>
                </c:pt>
                <c:pt idx="30">
                  <c:v>591.38860953957123</c:v>
                </c:pt>
                <c:pt idx="31">
                  <c:v>586.16283011279893</c:v>
                </c:pt>
                <c:pt idx="32">
                  <c:v>580.74659319643558</c:v>
                </c:pt>
                <c:pt idx="33">
                  <c:v>575.18889778881294</c:v>
                </c:pt>
                <c:pt idx="34">
                  <c:v>569.49438266500056</c:v>
                </c:pt>
                <c:pt idx="35">
                  <c:v>563.66768153628516</c:v>
                </c:pt>
                <c:pt idx="36">
                  <c:v>557.71099153308273</c:v>
                </c:pt>
                <c:pt idx="37">
                  <c:v>551.59676612125429</c:v>
                </c:pt>
                <c:pt idx="38">
                  <c:v>545.3686071712923</c:v>
                </c:pt>
                <c:pt idx="39">
                  <c:v>539.03104075613714</c:v>
                </c:pt>
                <c:pt idx="40">
                  <c:v>532.58856531663366</c:v>
                </c:pt>
                <c:pt idx="41">
                  <c:v>526.04565138089231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7DF-400E-8E95-374CC4227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78008"/>
        <c:axId val="491699328"/>
      </c:scatterChart>
      <c:valAx>
        <c:axId val="491697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Ступени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88832"/>
        <c:crosses val="autoZero"/>
        <c:crossBetween val="midCat"/>
      </c:valAx>
      <c:valAx>
        <c:axId val="49168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97032"/>
        <c:crosses val="autoZero"/>
        <c:crossBetween val="midCat"/>
      </c:valAx>
      <c:valAx>
        <c:axId val="491699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78008"/>
        <c:crosses val="max"/>
        <c:crossBetween val="midCat"/>
      </c:valAx>
      <c:valAx>
        <c:axId val="491678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1699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свойств в насосе по ступеням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Скважина_расчет!$AB$58</c:f>
              <c:strCache>
                <c:ptCount val="1"/>
                <c:pt idx="0">
                  <c:v>КПД с эмульсией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Скважина_расчет!$AB$60:$AB$101</c:f>
              <c:numCache>
                <c:formatCode>General</c:formatCode>
                <c:ptCount val="42"/>
                <c:pt idx="0">
                  <c:v>0.10505733858437059</c:v>
                </c:pt>
                <c:pt idx="1">
                  <c:v>0.11015037781237763</c:v>
                </c:pt>
                <c:pt idx="2">
                  <c:v>0.11534544860895264</c:v>
                </c:pt>
                <c:pt idx="3">
                  <c:v>0.11820091446379601</c:v>
                </c:pt>
                <c:pt idx="4">
                  <c:v>0.12075408148358519</c:v>
                </c:pt>
                <c:pt idx="5">
                  <c:v>0.12310310156760146</c:v>
                </c:pt>
                <c:pt idx="6">
                  <c:v>0.12527127639922225</c:v>
                </c:pt>
                <c:pt idx="7">
                  <c:v>0.12728495570351744</c:v>
                </c:pt>
                <c:pt idx="8">
                  <c:v>0.12918339618872679</c:v>
                </c:pt>
                <c:pt idx="9">
                  <c:v>0.13097582050366008</c:v>
                </c:pt>
                <c:pt idx="10">
                  <c:v>0.13267019781507877</c:v>
                </c:pt>
                <c:pt idx="11">
                  <c:v>0.13426351191822311</c:v>
                </c:pt>
                <c:pt idx="12">
                  <c:v>0.13575805745197458</c:v>
                </c:pt>
                <c:pt idx="13">
                  <c:v>0.13717692520867641</c:v>
                </c:pt>
                <c:pt idx="14">
                  <c:v>0.13852445884447454</c:v>
                </c:pt>
                <c:pt idx="15">
                  <c:v>0.13980477474073552</c:v>
                </c:pt>
                <c:pt idx="16">
                  <c:v>0.14101597792958612</c:v>
                </c:pt>
                <c:pt idx="17">
                  <c:v>0.14215670900147367</c:v>
                </c:pt>
                <c:pt idx="18">
                  <c:v>0.14324441228166426</c:v>
                </c:pt>
                <c:pt idx="19">
                  <c:v>0.14428228394440798</c:v>
                </c:pt>
                <c:pt idx="20">
                  <c:v>0.14527344576975387</c:v>
                </c:pt>
                <c:pt idx="21">
                  <c:v>0.14621780592744246</c:v>
                </c:pt>
                <c:pt idx="22">
                  <c:v>0.14711363014132975</c:v>
                </c:pt>
                <c:pt idx="23">
                  <c:v>0.14797438956019435</c:v>
                </c:pt>
                <c:pt idx="24">
                  <c:v>0.14880287362174205</c:v>
                </c:pt>
                <c:pt idx="25">
                  <c:v>0.14960184127624096</c:v>
                </c:pt>
                <c:pt idx="26">
                  <c:v>0.1503726562834635</c:v>
                </c:pt>
                <c:pt idx="27">
                  <c:v>0.15111488907191642</c:v>
                </c:pt>
                <c:pt idx="28">
                  <c:v>0.15183814119669564</c:v>
                </c:pt>
                <c:pt idx="29">
                  <c:v>0.15254468636855215</c:v>
                </c:pt>
                <c:pt idx="30">
                  <c:v>0.15323662233287635</c:v>
                </c:pt>
                <c:pt idx="31">
                  <c:v>0.15391545512864596</c:v>
                </c:pt>
                <c:pt idx="32">
                  <c:v>0.1545811741584209</c:v>
                </c:pt>
                <c:pt idx="33">
                  <c:v>0.15523866516550983</c:v>
                </c:pt>
                <c:pt idx="34">
                  <c:v>0.15588912257911719</c:v>
                </c:pt>
                <c:pt idx="35">
                  <c:v>0.15653365329484917</c:v>
                </c:pt>
                <c:pt idx="36">
                  <c:v>0.15717320560632667</c:v>
                </c:pt>
                <c:pt idx="37">
                  <c:v>0.1578080810005271</c:v>
                </c:pt>
                <c:pt idx="38">
                  <c:v>0.15844047636072336</c:v>
                </c:pt>
                <c:pt idx="39">
                  <c:v>0.15907104842456826</c:v>
                </c:pt>
                <c:pt idx="40">
                  <c:v>0.15970040838959176</c:v>
                </c:pt>
                <c:pt idx="41">
                  <c:v>0.16032912234991054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15-4FC6-9928-F92BB7212832}"/>
            </c:ext>
          </c:extLst>
        </c:ser>
        <c:ser>
          <c:idx val="1"/>
          <c:order val="3"/>
          <c:tx>
            <c:strRef>
              <c:f>Скважина_расчет!$AK$58</c:f>
              <c:strCache>
                <c:ptCount val="1"/>
                <c:pt idx="0">
                  <c:v>КПД  без  эмульсии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Скважина_расчет!$AK$60:$AK$101</c:f>
              <c:numCache>
                <c:formatCode>General</c:formatCode>
                <c:ptCount val="42"/>
                <c:pt idx="0">
                  <c:v>0.14866566845218315</c:v>
                </c:pt>
                <c:pt idx="1">
                  <c:v>0.16568080394970019</c:v>
                </c:pt>
                <c:pt idx="2">
                  <c:v>0.17987694599084744</c:v>
                </c:pt>
                <c:pt idx="3">
                  <c:v>0.18717241158468201</c:v>
                </c:pt>
                <c:pt idx="4">
                  <c:v>0.19350685907687593</c:v>
                </c:pt>
                <c:pt idx="5">
                  <c:v>0.19922882190548277</c:v>
                </c:pt>
                <c:pt idx="6">
                  <c:v>0.20443991703012046</c:v>
                </c:pt>
                <c:pt idx="7">
                  <c:v>0.20924683830655638</c:v>
                </c:pt>
                <c:pt idx="8">
                  <c:v>0.21376911534195916</c:v>
                </c:pt>
                <c:pt idx="9">
                  <c:v>0.21803983757881573</c:v>
                </c:pt>
                <c:pt idx="10">
                  <c:v>0.22208670164710681</c:v>
                </c:pt>
                <c:pt idx="11">
                  <c:v>0.22591184089736702</c:v>
                </c:pt>
                <c:pt idx="12">
                  <c:v>0.2295288890937526</c:v>
                </c:pt>
                <c:pt idx="13">
                  <c:v>0.23299094509893722</c:v>
                </c:pt>
                <c:pt idx="14">
                  <c:v>0.23630945046537277</c:v>
                </c:pt>
                <c:pt idx="15">
                  <c:v>0.23949477708463524</c:v>
                </c:pt>
                <c:pt idx="16">
                  <c:v>0.24254506629701583</c:v>
                </c:pt>
                <c:pt idx="17">
                  <c:v>0.24545903215402345</c:v>
                </c:pt>
                <c:pt idx="18">
                  <c:v>0.24827060001739459</c:v>
                </c:pt>
                <c:pt idx="19">
                  <c:v>0.25098560888201105</c:v>
                </c:pt>
                <c:pt idx="20">
                  <c:v>0.25360949757139112</c:v>
                </c:pt>
                <c:pt idx="21">
                  <c:v>0.25614093927493936</c:v>
                </c:pt>
                <c:pt idx="22">
                  <c:v>0.25857388538932524</c:v>
                </c:pt>
                <c:pt idx="23">
                  <c:v>0.26093306652112641</c:v>
                </c:pt>
                <c:pt idx="24">
                  <c:v>0.26322198152891207</c:v>
                </c:pt>
                <c:pt idx="25">
                  <c:v>0.26544393579930753</c:v>
                </c:pt>
                <c:pt idx="26">
                  <c:v>0.26759844708407909</c:v>
                </c:pt>
                <c:pt idx="27">
                  <c:v>0.26967765888224526</c:v>
                </c:pt>
                <c:pt idx="28">
                  <c:v>0.27170089965579153</c:v>
                </c:pt>
                <c:pt idx="29">
                  <c:v>0.27367046687469132</c:v>
                </c:pt>
                <c:pt idx="30">
                  <c:v>0.27558855049269743</c:v>
                </c:pt>
                <c:pt idx="31">
                  <c:v>0.27745536013181349</c:v>
                </c:pt>
                <c:pt idx="32">
                  <c:v>0.27926239032933314</c:v>
                </c:pt>
                <c:pt idx="33">
                  <c:v>0.28102541968942618</c:v>
                </c:pt>
                <c:pt idx="34">
                  <c:v>0.28274605183984286</c:v>
                </c:pt>
                <c:pt idx="35">
                  <c:v>0.28442582509814823</c:v>
                </c:pt>
                <c:pt idx="36">
                  <c:v>0.28606546042257991</c:v>
                </c:pt>
                <c:pt idx="37">
                  <c:v>0.28765632915786965</c:v>
                </c:pt>
                <c:pt idx="38">
                  <c:v>0.28921170079569775</c:v>
                </c:pt>
                <c:pt idx="39">
                  <c:v>0.29073274551785866</c:v>
                </c:pt>
                <c:pt idx="40">
                  <c:v>0.29222059112816884</c:v>
                </c:pt>
                <c:pt idx="41">
                  <c:v>0.29367632331231452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715-4FC6-9928-F92BB7212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97032"/>
        <c:axId val="491688832"/>
      </c:scatterChart>
      <c:scatterChart>
        <c:scatterStyle val="smoothMarker"/>
        <c:varyColors val="0"/>
        <c:ser>
          <c:idx val="2"/>
          <c:order val="1"/>
          <c:tx>
            <c:strRef>
              <c:f>Скважина_расчет!$AD$58</c:f>
              <c:strCache>
                <c:ptCount val="1"/>
                <c:pt idx="0">
                  <c:v>PowerESP  с эмульсией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Скважина_расчет!$AD$60:$AD$101</c:f>
              <c:numCache>
                <c:formatCode>General</c:formatCode>
                <c:ptCount val="42"/>
                <c:pt idx="0">
                  <c:v>289.30641585336571</c:v>
                </c:pt>
                <c:pt idx="1">
                  <c:v>336.89009258591159</c:v>
                </c:pt>
                <c:pt idx="2">
                  <c:v>2632.1619435636003</c:v>
                </c:pt>
                <c:pt idx="3">
                  <c:v>2537.3379336718917</c:v>
                </c:pt>
                <c:pt idx="4">
                  <c:v>2470.637306947227</c:v>
                </c:pt>
                <c:pt idx="5">
                  <c:v>2411.480463656485</c:v>
                </c:pt>
                <c:pt idx="6">
                  <c:v>2360.3296196520946</c:v>
                </c:pt>
                <c:pt idx="7">
                  <c:v>2316.0539401031961</c:v>
                </c:pt>
                <c:pt idx="8">
                  <c:v>2276.7361424416708</c:v>
                </c:pt>
                <c:pt idx="9">
                  <c:v>2241.8126496433929</c:v>
                </c:pt>
                <c:pt idx="10">
                  <c:v>2210.7776350435438</c:v>
                </c:pt>
                <c:pt idx="11">
                  <c:v>2183.5295400481705</c:v>
                </c:pt>
                <c:pt idx="12">
                  <c:v>2159.7200494440835</c:v>
                </c:pt>
                <c:pt idx="13">
                  <c:v>2138.3768443449526</c:v>
                </c:pt>
                <c:pt idx="14">
                  <c:v>2119.2409925646689</c:v>
                </c:pt>
                <c:pt idx="15">
                  <c:v>2102.0730402333184</c:v>
                </c:pt>
                <c:pt idx="16">
                  <c:v>2086.7970628801813</c:v>
                </c:pt>
                <c:pt idx="17">
                  <c:v>2073.2813434586133</c:v>
                </c:pt>
                <c:pt idx="18">
                  <c:v>2060.9747232669988</c:v>
                </c:pt>
                <c:pt idx="19">
                  <c:v>2049.7208736848602</c:v>
                </c:pt>
                <c:pt idx="20">
                  <c:v>2039.3704635648342</c:v>
                </c:pt>
                <c:pt idx="21">
                  <c:v>2029.8253326044533</c:v>
                </c:pt>
                <c:pt idx="22">
                  <c:v>2020.9658246983081</c:v>
                </c:pt>
                <c:pt idx="23">
                  <c:v>2012.4886494685154</c:v>
                </c:pt>
                <c:pt idx="24">
                  <c:v>2004.2769295512269</c:v>
                </c:pt>
                <c:pt idx="25">
                  <c:v>1996.2170588758524</c:v>
                </c:pt>
                <c:pt idx="26">
                  <c:v>1988.1912333170208</c:v>
                </c:pt>
                <c:pt idx="27">
                  <c:v>1980.010311166302</c:v>
                </c:pt>
                <c:pt idx="28">
                  <c:v>1971.5894170004005</c:v>
                </c:pt>
                <c:pt idx="29">
                  <c:v>1962.9104082906936</c:v>
                </c:pt>
                <c:pt idx="30">
                  <c:v>1953.9706153787542</c:v>
                </c:pt>
                <c:pt idx="31">
                  <c:v>1944.7699285453707</c:v>
                </c:pt>
                <c:pt idx="32">
                  <c:v>1935.2645510779346</c:v>
                </c:pt>
                <c:pt idx="33">
                  <c:v>1925.5355793902734</c:v>
                </c:pt>
                <c:pt idx="34">
                  <c:v>1915.5922568404703</c:v>
                </c:pt>
                <c:pt idx="35">
                  <c:v>1905.4437704678501</c:v>
                </c:pt>
                <c:pt idx="36">
                  <c:v>1895.0955719975066</c:v>
                </c:pt>
                <c:pt idx="37">
                  <c:v>1884.5090431886827</c:v>
                </c:pt>
                <c:pt idx="38">
                  <c:v>1873.752912708514</c:v>
                </c:pt>
                <c:pt idx="39">
                  <c:v>1862.8358062005034</c:v>
                </c:pt>
                <c:pt idx="40">
                  <c:v>1851.7662394691356</c:v>
                </c:pt>
                <c:pt idx="41">
                  <c:v>1840.5526178463042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15-4FC6-9928-F92BB7212832}"/>
            </c:ext>
          </c:extLst>
        </c:ser>
        <c:ser>
          <c:idx val="3"/>
          <c:order val="2"/>
          <c:tx>
            <c:strRef>
              <c:f>Скважина_расчет!$AI$58</c:f>
              <c:strCache>
                <c:ptCount val="1"/>
                <c:pt idx="0">
                  <c:v>MuMix  с эмульсией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Скважина_расчет!$AI$60:$AI$101</c:f>
              <c:numCache>
                <c:formatCode>General</c:formatCode>
                <c:ptCount val="42"/>
                <c:pt idx="0">
                  <c:v>1065.2576830848093</c:v>
                </c:pt>
                <c:pt idx="1">
                  <c:v>1008.3479105637548</c:v>
                </c:pt>
                <c:pt idx="2">
                  <c:v>945.72163058413673</c:v>
                </c:pt>
                <c:pt idx="3">
                  <c:v>900.09416505773754</c:v>
                </c:pt>
                <c:pt idx="4">
                  <c:v>867.14819810224162</c:v>
                </c:pt>
                <c:pt idx="5">
                  <c:v>837.43584824532263</c:v>
                </c:pt>
                <c:pt idx="6">
                  <c:v>811.31473930742925</c:v>
                </c:pt>
                <c:pt idx="7">
                  <c:v>788.38678339496539</c:v>
                </c:pt>
                <c:pt idx="8">
                  <c:v>767.81924403945311</c:v>
                </c:pt>
                <c:pt idx="9">
                  <c:v>749.37992360003511</c:v>
                </c:pt>
                <c:pt idx="10">
                  <c:v>732.85550781185088</c:v>
                </c:pt>
                <c:pt idx="11">
                  <c:v>718.22924290387982</c:v>
                </c:pt>
                <c:pt idx="12">
                  <c:v>705.35862946270242</c:v>
                </c:pt>
                <c:pt idx="13">
                  <c:v>693.76433789241719</c:v>
                </c:pt>
                <c:pt idx="14">
                  <c:v>683.32262074656217</c:v>
                </c:pt>
                <c:pt idx="15">
                  <c:v>673.91732047724565</c:v>
                </c:pt>
                <c:pt idx="16">
                  <c:v>665.51723142670653</c:v>
                </c:pt>
                <c:pt idx="17">
                  <c:v>658.0606997767145</c:v>
                </c:pt>
                <c:pt idx="18">
                  <c:v>651.25621862491926</c:v>
                </c:pt>
                <c:pt idx="19">
                  <c:v>645.02136699318555</c:v>
                </c:pt>
                <c:pt idx="20">
                  <c:v>639.27670334169534</c:v>
                </c:pt>
                <c:pt idx="21">
                  <c:v>633.96977803648679</c:v>
                </c:pt>
                <c:pt idx="22">
                  <c:v>629.03504301896669</c:v>
                </c:pt>
                <c:pt idx="23">
                  <c:v>624.30623250486542</c:v>
                </c:pt>
                <c:pt idx="24">
                  <c:v>619.71814150166824</c:v>
                </c:pt>
                <c:pt idx="25">
                  <c:v>615.20705327832718</c:v>
                </c:pt>
                <c:pt idx="26">
                  <c:v>610.70595338512817</c:v>
                </c:pt>
                <c:pt idx="27">
                  <c:v>606.10519205065441</c:v>
                </c:pt>
                <c:pt idx="28">
                  <c:v>601.35797673127036</c:v>
                </c:pt>
                <c:pt idx="29">
                  <c:v>596.45321123265478</c:v>
                </c:pt>
                <c:pt idx="30">
                  <c:v>591.38860953957123</c:v>
                </c:pt>
                <c:pt idx="31">
                  <c:v>586.16283011279893</c:v>
                </c:pt>
                <c:pt idx="32">
                  <c:v>580.74659319643558</c:v>
                </c:pt>
                <c:pt idx="33">
                  <c:v>575.18889778881294</c:v>
                </c:pt>
                <c:pt idx="34">
                  <c:v>569.49438266500056</c:v>
                </c:pt>
                <c:pt idx="35">
                  <c:v>563.66768153628516</c:v>
                </c:pt>
                <c:pt idx="36">
                  <c:v>557.71099153308273</c:v>
                </c:pt>
                <c:pt idx="37">
                  <c:v>551.59676612125429</c:v>
                </c:pt>
                <c:pt idx="38">
                  <c:v>545.3686071712923</c:v>
                </c:pt>
                <c:pt idx="39">
                  <c:v>539.03104075613714</c:v>
                </c:pt>
                <c:pt idx="40">
                  <c:v>532.58856531663366</c:v>
                </c:pt>
                <c:pt idx="41">
                  <c:v>526.04565138089231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715-4FC6-9928-F92BB7212832}"/>
            </c:ext>
          </c:extLst>
        </c:ser>
        <c:ser>
          <c:idx val="4"/>
          <c:order val="4"/>
          <c:tx>
            <c:strRef>
              <c:f>Скважина_расчет!$AR$58</c:f>
              <c:strCache>
                <c:ptCount val="1"/>
                <c:pt idx="0">
                  <c:v>MuMix без  эмульсии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Скважина_расчет!$AR$60:$AR$101</c:f>
              <c:numCache>
                <c:formatCode>General</c:formatCode>
                <c:ptCount val="42"/>
                <c:pt idx="0">
                  <c:v>857.83121608852844</c:v>
                </c:pt>
                <c:pt idx="1">
                  <c:v>723.76434254693868</c:v>
                </c:pt>
                <c:pt idx="2">
                  <c:v>632.00937099620648</c:v>
                </c:pt>
                <c:pt idx="3">
                  <c:v>570.35712409577263</c:v>
                </c:pt>
                <c:pt idx="4">
                  <c:v>529.95957260400576</c:v>
                </c:pt>
                <c:pt idx="5">
                  <c:v>494.09797322415147</c:v>
                </c:pt>
                <c:pt idx="6">
                  <c:v>463.42997835868334</c:v>
                </c:pt>
                <c:pt idx="7">
                  <c:v>436.88356474880061</c:v>
                </c:pt>
                <c:pt idx="8">
                  <c:v>413.18897071936846</c:v>
                </c:pt>
                <c:pt idx="9">
                  <c:v>391.95792463876057</c:v>
                </c:pt>
                <c:pt idx="10">
                  <c:v>372.8563655517205</c:v>
                </c:pt>
                <c:pt idx="11">
                  <c:v>355.78212258528754</c:v>
                </c:pt>
                <c:pt idx="12">
                  <c:v>340.5140211357749</c:v>
                </c:pt>
                <c:pt idx="13">
                  <c:v>326.53059115317245</c:v>
                </c:pt>
                <c:pt idx="14">
                  <c:v>313.69599755801414</c:v>
                </c:pt>
                <c:pt idx="15">
                  <c:v>301.88896317324253</c:v>
                </c:pt>
                <c:pt idx="16">
                  <c:v>291.08092073952855</c:v>
                </c:pt>
                <c:pt idx="17">
                  <c:v>281.2305583975226</c:v>
                </c:pt>
                <c:pt idx="18">
                  <c:v>272.06806259607907</c:v>
                </c:pt>
                <c:pt idx="19">
                  <c:v>263.53356414835497</c:v>
                </c:pt>
                <c:pt idx="20">
                  <c:v>255.57241132503441</c:v>
                </c:pt>
                <c:pt idx="21">
                  <c:v>248.17195068768484</c:v>
                </c:pt>
                <c:pt idx="22">
                  <c:v>241.34193629375258</c:v>
                </c:pt>
                <c:pt idx="23">
                  <c:v>234.92206241753311</c:v>
                </c:pt>
                <c:pt idx="24">
                  <c:v>228.88183157668831</c:v>
                </c:pt>
                <c:pt idx="25">
                  <c:v>223.19299373690049</c:v>
                </c:pt>
                <c:pt idx="26">
                  <c:v>217.84706041061554</c:v>
                </c:pt>
                <c:pt idx="27">
                  <c:v>212.8686428732365</c:v>
                </c:pt>
                <c:pt idx="28">
                  <c:v>208.15345275749749</c:v>
                </c:pt>
                <c:pt idx="29">
                  <c:v>203.68432894997215</c:v>
                </c:pt>
                <c:pt idx="30">
                  <c:v>199.44520742991148</c:v>
                </c:pt>
                <c:pt idx="31">
                  <c:v>195.42895910706059</c:v>
                </c:pt>
                <c:pt idx="32">
                  <c:v>191.66322077634388</c:v>
                </c:pt>
                <c:pt idx="33">
                  <c:v>188.07568575941255</c:v>
                </c:pt>
                <c:pt idx="34">
                  <c:v>184.65595764566186</c:v>
                </c:pt>
                <c:pt idx="35">
                  <c:v>181.39422664542468</c:v>
                </c:pt>
                <c:pt idx="36">
                  <c:v>178.28401150186568</c:v>
                </c:pt>
                <c:pt idx="37">
                  <c:v>175.3518688060656</c:v>
                </c:pt>
                <c:pt idx="38">
                  <c:v>172.54529086446308</c:v>
                </c:pt>
                <c:pt idx="39">
                  <c:v>169.8576206971712</c:v>
                </c:pt>
                <c:pt idx="40">
                  <c:v>167.28254157788763</c:v>
                </c:pt>
                <c:pt idx="41">
                  <c:v>164.81407436565743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715-4FC6-9928-F92BB7212832}"/>
            </c:ext>
          </c:extLst>
        </c:ser>
        <c:ser>
          <c:idx val="5"/>
          <c:order val="5"/>
          <c:tx>
            <c:strRef>
              <c:f>Скважина_расчет!$AM$58</c:f>
              <c:strCache>
                <c:ptCount val="1"/>
                <c:pt idx="0">
                  <c:v>PowerESP без  эмульсии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Скважина_расчет!$AM$60:$AM$101</c:f>
              <c:numCache>
                <c:formatCode>General</c:formatCode>
                <c:ptCount val="42"/>
                <c:pt idx="0">
                  <c:v>252.56383801233369</c:v>
                </c:pt>
                <c:pt idx="1">
                  <c:v>273.47457562216744</c:v>
                </c:pt>
                <c:pt idx="2">
                  <c:v>2067.3255922084413</c:v>
                </c:pt>
                <c:pt idx="3">
                  <c:v>1950.1925295185767</c:v>
                </c:pt>
                <c:pt idx="4">
                  <c:v>1876.0083944628047</c:v>
                </c:pt>
                <c:pt idx="5">
                  <c:v>1811.3016969228956</c:v>
                </c:pt>
                <c:pt idx="6">
                  <c:v>1756.8426979901687</c:v>
                </c:pt>
                <c:pt idx="7">
                  <c:v>1710.2610095468385</c:v>
                </c:pt>
                <c:pt idx="8">
                  <c:v>1669.0107363843383</c:v>
                </c:pt>
                <c:pt idx="9">
                  <c:v>1632.2971426295735</c:v>
                </c:pt>
                <c:pt idx="10">
                  <c:v>1599.4480944246886</c:v>
                </c:pt>
                <c:pt idx="11">
                  <c:v>1570.2236155727949</c:v>
                </c:pt>
                <c:pt idx="12">
                  <c:v>1544.1803486968324</c:v>
                </c:pt>
                <c:pt idx="13">
                  <c:v>1520.3758900970297</c:v>
                </c:pt>
                <c:pt idx="14">
                  <c:v>1498.5595928762473</c:v>
                </c:pt>
                <c:pt idx="15">
                  <c:v>1478.5096902556272</c:v>
                </c:pt>
                <c:pt idx="16">
                  <c:v>1460.1654771966871</c:v>
                </c:pt>
                <c:pt idx="17">
                  <c:v>1443.4451051631227</c:v>
                </c:pt>
                <c:pt idx="18">
                  <c:v>1427.8852560222285</c:v>
                </c:pt>
                <c:pt idx="19">
                  <c:v>1413.3816434346495</c:v>
                </c:pt>
                <c:pt idx="20">
                  <c:v>1399.8395530268886</c:v>
                </c:pt>
                <c:pt idx="21">
                  <c:v>1387.2351315078927</c:v>
                </c:pt>
                <c:pt idx="22">
                  <c:v>1375.5820333759566</c:v>
                </c:pt>
                <c:pt idx="23">
                  <c:v>1364.6116235994518</c:v>
                </c:pt>
                <c:pt idx="24">
                  <c:v>1354.2724948190282</c:v>
                </c:pt>
                <c:pt idx="25">
                  <c:v>1344.5171626524466</c:v>
                </c:pt>
                <c:pt idx="26">
                  <c:v>1335.3311194188484</c:v>
                </c:pt>
                <c:pt idx="27">
                  <c:v>1326.7549316892687</c:v>
                </c:pt>
                <c:pt idx="28">
                  <c:v>1318.6155112931838</c:v>
                </c:pt>
                <c:pt idx="29">
                  <c:v>1310.8844460443026</c:v>
                </c:pt>
                <c:pt idx="30">
                  <c:v>1303.5351780640449</c:v>
                </c:pt>
                <c:pt idx="31">
                  <c:v>1296.5560289700388</c:v>
                </c:pt>
                <c:pt idx="32">
                  <c:v>1289.9932426494261</c:v>
                </c:pt>
                <c:pt idx="33">
                  <c:v>1283.7269424839396</c:v>
                </c:pt>
                <c:pt idx="34">
                  <c:v>1277.7400598729484</c:v>
                </c:pt>
                <c:pt idx="35">
                  <c:v>1272.0164973791825</c:v>
                </c:pt>
                <c:pt idx="36">
                  <c:v>1266.5457100158401</c:v>
                </c:pt>
                <c:pt idx="37">
                  <c:v>1261.3724695816986</c:v>
                </c:pt>
                <c:pt idx="38">
                  <c:v>1256.4093872838123</c:v>
                </c:pt>
                <c:pt idx="39">
                  <c:v>1251.645556068712</c:v>
                </c:pt>
                <c:pt idx="40">
                  <c:v>1247.070625555197</c:v>
                </c:pt>
                <c:pt idx="41">
                  <c:v>1242.6747975918779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15-4FC6-9928-F92BB7212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78008"/>
        <c:axId val="491699328"/>
      </c:scatterChart>
      <c:valAx>
        <c:axId val="491697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Ступени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88832"/>
        <c:crosses val="autoZero"/>
        <c:crossBetween val="midCat"/>
      </c:valAx>
      <c:valAx>
        <c:axId val="49168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доли единиц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97032"/>
        <c:crosses val="autoZero"/>
        <c:crossBetween val="midCat"/>
      </c:valAx>
      <c:valAx>
        <c:axId val="4916993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Ватт и Вязкость смеси, сПуаз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78008"/>
        <c:crosses val="max"/>
        <c:crossBetween val="midCat"/>
      </c:valAx>
      <c:valAx>
        <c:axId val="491678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1699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4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вязкости</a:t>
            </a:r>
            <a:r>
              <a:rPr lang="ru-RU" baseline="0"/>
              <a:t> смеси по ступеням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Скважина_расчет!$AJ$55</c:f>
              <c:strCache>
                <c:ptCount val="1"/>
                <c:pt idx="0">
                  <c:v>Вариант №1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Скважина_расчет!$AR$60:$AR$101</c:f>
              <c:numCache>
                <c:formatCode>General</c:formatCode>
                <c:ptCount val="42"/>
                <c:pt idx="0">
                  <c:v>857.83121608852844</c:v>
                </c:pt>
                <c:pt idx="1">
                  <c:v>723.76434254693868</c:v>
                </c:pt>
                <c:pt idx="2">
                  <c:v>632.00937099620648</c:v>
                </c:pt>
                <c:pt idx="3">
                  <c:v>570.35712409577263</c:v>
                </c:pt>
                <c:pt idx="4">
                  <c:v>529.95957260400576</c:v>
                </c:pt>
                <c:pt idx="5">
                  <c:v>494.09797322415147</c:v>
                </c:pt>
                <c:pt idx="6">
                  <c:v>463.42997835868334</c:v>
                </c:pt>
                <c:pt idx="7">
                  <c:v>436.88356474880061</c:v>
                </c:pt>
                <c:pt idx="8">
                  <c:v>413.18897071936846</c:v>
                </c:pt>
                <c:pt idx="9">
                  <c:v>391.95792463876057</c:v>
                </c:pt>
                <c:pt idx="10">
                  <c:v>372.8563655517205</c:v>
                </c:pt>
                <c:pt idx="11">
                  <c:v>355.78212258528754</c:v>
                </c:pt>
                <c:pt idx="12">
                  <c:v>340.5140211357749</c:v>
                </c:pt>
                <c:pt idx="13">
                  <c:v>326.53059115317245</c:v>
                </c:pt>
                <c:pt idx="14">
                  <c:v>313.69599755801414</c:v>
                </c:pt>
                <c:pt idx="15">
                  <c:v>301.88896317324253</c:v>
                </c:pt>
                <c:pt idx="16">
                  <c:v>291.08092073952855</c:v>
                </c:pt>
                <c:pt idx="17">
                  <c:v>281.2305583975226</c:v>
                </c:pt>
                <c:pt idx="18">
                  <c:v>272.06806259607907</c:v>
                </c:pt>
                <c:pt idx="19">
                  <c:v>263.53356414835497</c:v>
                </c:pt>
                <c:pt idx="20">
                  <c:v>255.57241132503441</c:v>
                </c:pt>
                <c:pt idx="21">
                  <c:v>248.17195068768484</c:v>
                </c:pt>
                <c:pt idx="22">
                  <c:v>241.34193629375258</c:v>
                </c:pt>
                <c:pt idx="23">
                  <c:v>234.92206241753311</c:v>
                </c:pt>
                <c:pt idx="24">
                  <c:v>228.88183157668831</c:v>
                </c:pt>
                <c:pt idx="25">
                  <c:v>223.19299373690049</c:v>
                </c:pt>
                <c:pt idx="26">
                  <c:v>217.84706041061554</c:v>
                </c:pt>
                <c:pt idx="27">
                  <c:v>212.8686428732365</c:v>
                </c:pt>
                <c:pt idx="28">
                  <c:v>208.15345275749749</c:v>
                </c:pt>
                <c:pt idx="29">
                  <c:v>203.68432894997215</c:v>
                </c:pt>
                <c:pt idx="30">
                  <c:v>199.44520742991148</c:v>
                </c:pt>
                <c:pt idx="31">
                  <c:v>195.42895910706059</c:v>
                </c:pt>
                <c:pt idx="32">
                  <c:v>191.66322077634388</c:v>
                </c:pt>
                <c:pt idx="33">
                  <c:v>188.07568575941255</c:v>
                </c:pt>
                <c:pt idx="34">
                  <c:v>184.65595764566186</c:v>
                </c:pt>
                <c:pt idx="35">
                  <c:v>181.39422664542468</c:v>
                </c:pt>
                <c:pt idx="36">
                  <c:v>178.28401150186568</c:v>
                </c:pt>
                <c:pt idx="37">
                  <c:v>175.3518688060656</c:v>
                </c:pt>
                <c:pt idx="38">
                  <c:v>172.54529086446308</c:v>
                </c:pt>
                <c:pt idx="39">
                  <c:v>169.8576206971712</c:v>
                </c:pt>
                <c:pt idx="40">
                  <c:v>167.28254157788763</c:v>
                </c:pt>
                <c:pt idx="41">
                  <c:v>164.81407436565743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85-4A53-BBDA-90CF97F8C4FC}"/>
            </c:ext>
          </c:extLst>
        </c:ser>
        <c:ser>
          <c:idx val="3"/>
          <c:order val="1"/>
          <c:tx>
            <c:strRef>
              <c:f>Скважина_расчет!$AS$55</c:f>
              <c:strCache>
                <c:ptCount val="1"/>
                <c:pt idx="0">
                  <c:v>Вариант №2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Скважина_расчет!$BB$60:$BB$101</c:f>
              <c:numCache>
                <c:formatCode>General</c:formatCode>
                <c:ptCount val="42"/>
                <c:pt idx="0">
                  <c:v>1065.2576830848093</c:v>
                </c:pt>
                <c:pt idx="1">
                  <c:v>1014.1878077849797</c:v>
                </c:pt>
                <c:pt idx="2">
                  <c:v>957.27671482544974</c:v>
                </c:pt>
                <c:pt idx="3">
                  <c:v>915.42864638501214</c:v>
                </c:pt>
                <c:pt idx="4">
                  <c:v>884.79412657235321</c:v>
                </c:pt>
                <c:pt idx="5">
                  <c:v>856.87622526961695</c:v>
                </c:pt>
                <c:pt idx="6">
                  <c:v>832.01605928877939</c:v>
                </c:pt>
                <c:pt idx="7">
                  <c:v>809.89132174308679</c:v>
                </c:pt>
                <c:pt idx="8">
                  <c:v>789.81616572409382</c:v>
                </c:pt>
                <c:pt idx="9">
                  <c:v>771.60569627118116</c:v>
                </c:pt>
                <c:pt idx="10">
                  <c:v>755.08751220403144</c:v>
                </c:pt>
                <c:pt idx="11">
                  <c:v>740.26215495751671</c:v>
                </c:pt>
                <c:pt idx="12">
                  <c:v>727.02346258369414</c:v>
                </c:pt>
                <c:pt idx="13">
                  <c:v>714.95446715780804</c:v>
                </c:pt>
                <c:pt idx="14">
                  <c:v>703.95521007784419</c:v>
                </c:pt>
                <c:pt idx="15">
                  <c:v>693.93236327694615</c:v>
                </c:pt>
                <c:pt idx="16">
                  <c:v>684.8762037082281</c:v>
                </c:pt>
                <c:pt idx="17">
                  <c:v>676.75830157323969</c:v>
                </c:pt>
                <c:pt idx="18">
                  <c:v>669.31474224432429</c:v>
                </c:pt>
                <c:pt idx="19">
                  <c:v>662.48264589284224</c:v>
                </c:pt>
                <c:pt idx="20">
                  <c:v>656.20193591458451</c:v>
                </c:pt>
                <c:pt idx="21">
                  <c:v>650.44830504821994</c:v>
                </c:pt>
                <c:pt idx="22">
                  <c:v>645.20496469992781</c:v>
                </c:pt>
                <c:pt idx="23">
                  <c:v>640.30399430582008</c:v>
                </c:pt>
                <c:pt idx="24">
                  <c:v>635.69870235252029</c:v>
                </c:pt>
                <c:pt idx="25">
                  <c:v>631.34369040570982</c:v>
                </c:pt>
                <c:pt idx="26">
                  <c:v>627.20330890640878</c:v>
                </c:pt>
                <c:pt idx="27">
                  <c:v>623.24042746367593</c:v>
                </c:pt>
                <c:pt idx="28">
                  <c:v>619.36182792676573</c:v>
                </c:pt>
                <c:pt idx="29">
                  <c:v>615.52893575639189</c:v>
                </c:pt>
                <c:pt idx="30">
                  <c:v>611.70398501774048</c:v>
                </c:pt>
                <c:pt idx="31">
                  <c:v>607.84663971964858</c:v>
                </c:pt>
                <c:pt idx="32">
                  <c:v>603.88202741969462</c:v>
                </c:pt>
                <c:pt idx="33">
                  <c:v>599.80379840932028</c:v>
                </c:pt>
                <c:pt idx="34">
                  <c:v>595.61154314152634</c:v>
                </c:pt>
                <c:pt idx="35">
                  <c:v>591.3071334143383</c:v>
                </c:pt>
                <c:pt idx="36">
                  <c:v>586.89147826266799</c:v>
                </c:pt>
                <c:pt idx="37">
                  <c:v>582.33922227908954</c:v>
                </c:pt>
                <c:pt idx="38">
                  <c:v>577.68681146221661</c:v>
                </c:pt>
                <c:pt idx="39">
                  <c:v>572.93726946412789</c:v>
                </c:pt>
                <c:pt idx="40">
                  <c:v>568.09361519366757</c:v>
                </c:pt>
                <c:pt idx="41">
                  <c:v>563.1588626169505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785-4A53-BBDA-90CF97F8C4FC}"/>
            </c:ext>
          </c:extLst>
        </c:ser>
        <c:ser>
          <c:idx val="4"/>
          <c:order val="2"/>
          <c:tx>
            <c:strRef>
              <c:f>Скважина_расчет!$AB$55</c:f>
              <c:strCache>
                <c:ptCount val="1"/>
                <c:pt idx="0">
                  <c:v>Вариант №3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Скважина_расчет!$AI$60:$AI$101</c:f>
              <c:numCache>
                <c:formatCode>General</c:formatCode>
                <c:ptCount val="42"/>
                <c:pt idx="0">
                  <c:v>1065.2576830848093</c:v>
                </c:pt>
                <c:pt idx="1">
                  <c:v>1008.3479105637548</c:v>
                </c:pt>
                <c:pt idx="2">
                  <c:v>945.72163058413673</c:v>
                </c:pt>
                <c:pt idx="3">
                  <c:v>900.09416505773754</c:v>
                </c:pt>
                <c:pt idx="4">
                  <c:v>867.14819810224162</c:v>
                </c:pt>
                <c:pt idx="5">
                  <c:v>837.43584824532263</c:v>
                </c:pt>
                <c:pt idx="6">
                  <c:v>811.31473930742925</c:v>
                </c:pt>
                <c:pt idx="7">
                  <c:v>788.38678339496539</c:v>
                </c:pt>
                <c:pt idx="8">
                  <c:v>767.81924403945311</c:v>
                </c:pt>
                <c:pt idx="9">
                  <c:v>749.37992360003511</c:v>
                </c:pt>
                <c:pt idx="10">
                  <c:v>732.85550781185088</c:v>
                </c:pt>
                <c:pt idx="11">
                  <c:v>718.22924290387982</c:v>
                </c:pt>
                <c:pt idx="12">
                  <c:v>705.35862946270242</c:v>
                </c:pt>
                <c:pt idx="13">
                  <c:v>693.76433789241719</c:v>
                </c:pt>
                <c:pt idx="14">
                  <c:v>683.32262074656217</c:v>
                </c:pt>
                <c:pt idx="15">
                  <c:v>673.91732047724565</c:v>
                </c:pt>
                <c:pt idx="16">
                  <c:v>665.51723142670653</c:v>
                </c:pt>
                <c:pt idx="17">
                  <c:v>658.0606997767145</c:v>
                </c:pt>
                <c:pt idx="18">
                  <c:v>651.25621862491926</c:v>
                </c:pt>
                <c:pt idx="19">
                  <c:v>645.02136699318555</c:v>
                </c:pt>
                <c:pt idx="20">
                  <c:v>639.27670334169534</c:v>
                </c:pt>
                <c:pt idx="21">
                  <c:v>633.96977803648679</c:v>
                </c:pt>
                <c:pt idx="22">
                  <c:v>629.03504301896669</c:v>
                </c:pt>
                <c:pt idx="23">
                  <c:v>624.30623250486542</c:v>
                </c:pt>
                <c:pt idx="24">
                  <c:v>619.71814150166824</c:v>
                </c:pt>
                <c:pt idx="25">
                  <c:v>615.20705327832718</c:v>
                </c:pt>
                <c:pt idx="26">
                  <c:v>610.70595338512817</c:v>
                </c:pt>
                <c:pt idx="27">
                  <c:v>606.10519205065441</c:v>
                </c:pt>
                <c:pt idx="28">
                  <c:v>601.35797673127036</c:v>
                </c:pt>
                <c:pt idx="29">
                  <c:v>596.45321123265478</c:v>
                </c:pt>
                <c:pt idx="30">
                  <c:v>591.38860953957123</c:v>
                </c:pt>
                <c:pt idx="31">
                  <c:v>586.16283011279893</c:v>
                </c:pt>
                <c:pt idx="32">
                  <c:v>580.74659319643558</c:v>
                </c:pt>
                <c:pt idx="33">
                  <c:v>575.18889778881294</c:v>
                </c:pt>
                <c:pt idx="34">
                  <c:v>569.49438266500056</c:v>
                </c:pt>
                <c:pt idx="35">
                  <c:v>563.66768153628516</c:v>
                </c:pt>
                <c:pt idx="36">
                  <c:v>557.71099153308273</c:v>
                </c:pt>
                <c:pt idx="37">
                  <c:v>551.59676612125429</c:v>
                </c:pt>
                <c:pt idx="38">
                  <c:v>545.3686071712923</c:v>
                </c:pt>
                <c:pt idx="39">
                  <c:v>539.03104075613714</c:v>
                </c:pt>
                <c:pt idx="40">
                  <c:v>532.58856531663366</c:v>
                </c:pt>
                <c:pt idx="41">
                  <c:v>526.04565138089231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785-4A53-BBDA-90CF97F8C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97032"/>
        <c:axId val="491688832"/>
      </c:scatterChart>
      <c:valAx>
        <c:axId val="491697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Ступени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88832"/>
        <c:crosses val="autoZero"/>
        <c:crossBetween val="midCat"/>
      </c:valAx>
      <c:valAx>
        <c:axId val="49168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смеси, сПуаз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97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4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  <a:r>
              <a:rPr lang="ru-RU" baseline="0"/>
              <a:t> смеси по ступеням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Скважина_расчет!$AJ$57</c:f>
              <c:strCache>
                <c:ptCount val="1"/>
                <c:pt idx="0">
                  <c:v>Вариант №1 с исходными данными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Скважина_расчет!$AQ$60:$AQ$101</c:f>
              <c:numCache>
                <c:formatCode>General</c:formatCode>
                <c:ptCount val="42"/>
                <c:pt idx="0">
                  <c:v>15.739493705266273</c:v>
                </c:pt>
                <c:pt idx="1">
                  <c:v>16.207413960861988</c:v>
                </c:pt>
                <c:pt idx="2">
                  <c:v>17.056867388799184</c:v>
                </c:pt>
                <c:pt idx="3">
                  <c:v>17.414435805840991</c:v>
                </c:pt>
                <c:pt idx="4">
                  <c:v>17.755167691270096</c:v>
                </c:pt>
                <c:pt idx="5">
                  <c:v>18.081015383306589</c:v>
                </c:pt>
                <c:pt idx="6">
                  <c:v>18.39243000095507</c:v>
                </c:pt>
                <c:pt idx="7">
                  <c:v>18.691262175233142</c:v>
                </c:pt>
                <c:pt idx="8">
                  <c:v>18.980827545947378</c:v>
                </c:pt>
                <c:pt idx="9">
                  <c:v>19.262005517542935</c:v>
                </c:pt>
                <c:pt idx="10">
                  <c:v>19.535578733160467</c:v>
                </c:pt>
                <c:pt idx="11">
                  <c:v>19.801512041459986</c:v>
                </c:pt>
                <c:pt idx="12">
                  <c:v>20.060206937262951</c:v>
                </c:pt>
                <c:pt idx="13">
                  <c:v>20.31348915259256</c:v>
                </c:pt>
                <c:pt idx="14">
                  <c:v>20.561751531342345</c:v>
                </c:pt>
                <c:pt idx="15">
                  <c:v>20.805354379065101</c:v>
                </c:pt>
                <c:pt idx="16">
                  <c:v>21.044235299495753</c:v>
                </c:pt>
                <c:pt idx="17">
                  <c:v>21.27835935686921</c:v>
                </c:pt>
                <c:pt idx="18">
                  <c:v>21.50892005611027</c:v>
                </c:pt>
                <c:pt idx="19">
                  <c:v>21.736128561065186</c:v>
                </c:pt>
                <c:pt idx="20">
                  <c:v>21.960181966097458</c:v>
                </c:pt>
                <c:pt idx="21">
                  <c:v>22.181044517378062</c:v>
                </c:pt>
                <c:pt idx="22">
                  <c:v>22.398522485548746</c:v>
                </c:pt>
                <c:pt idx="23">
                  <c:v>22.61347635850402</c:v>
                </c:pt>
                <c:pt idx="24">
                  <c:v>22.826033346695162</c:v>
                </c:pt>
                <c:pt idx="25">
                  <c:v>23.036313545030829</c:v>
                </c:pt>
                <c:pt idx="26">
                  <c:v>23.244308746199675</c:v>
                </c:pt>
                <c:pt idx="27">
                  <c:v>23.449764977660511</c:v>
                </c:pt>
                <c:pt idx="28">
                  <c:v>23.653342377046251</c:v>
                </c:pt>
                <c:pt idx="29">
                  <c:v>23.855123702039386</c:v>
                </c:pt>
                <c:pt idx="30">
                  <c:v>24.055187704206414</c:v>
                </c:pt>
                <c:pt idx="31">
                  <c:v>24.253547157358607</c:v>
                </c:pt>
                <c:pt idx="32">
                  <c:v>24.449928375851179</c:v>
                </c:pt>
                <c:pt idx="33">
                  <c:v>24.644859725452513</c:v>
                </c:pt>
                <c:pt idx="34">
                  <c:v>24.838398071578393</c:v>
                </c:pt>
                <c:pt idx="35">
                  <c:v>25.030597838559821</c:v>
                </c:pt>
                <c:pt idx="36">
                  <c:v>25.22148654687749</c:v>
                </c:pt>
                <c:pt idx="37">
                  <c:v>25.41078881149631</c:v>
                </c:pt>
                <c:pt idx="38">
                  <c:v>25.598940712462102</c:v>
                </c:pt>
                <c:pt idx="39">
                  <c:v>25.785982929641662</c:v>
                </c:pt>
                <c:pt idx="40">
                  <c:v>25.971954567654041</c:v>
                </c:pt>
                <c:pt idx="41">
                  <c:v>26.156893165795136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0A-4845-AB66-7380F3FD03F3}"/>
            </c:ext>
          </c:extLst>
        </c:ser>
        <c:ser>
          <c:idx val="3"/>
          <c:order val="1"/>
          <c:tx>
            <c:strRef>
              <c:f>Скважина_расчет!$AS$57</c:f>
              <c:strCache>
                <c:ptCount val="1"/>
                <c:pt idx="0">
                  <c:v>Вариант №2 с эмульсией, но без коэффициента деградации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Скважина_расчет!$BA$60:$BA$101</c:f>
              <c:numCache>
                <c:formatCode>General</c:formatCode>
                <c:ptCount val="42"/>
                <c:pt idx="0">
                  <c:v>15.754755931732836</c:v>
                </c:pt>
                <c:pt idx="1">
                  <c:v>16.375767234010656</c:v>
                </c:pt>
                <c:pt idx="2">
                  <c:v>17.571163609961609</c:v>
                </c:pt>
                <c:pt idx="3">
                  <c:v>18.103260487012886</c:v>
                </c:pt>
                <c:pt idx="4">
                  <c:v>18.619690223524238</c:v>
                </c:pt>
                <c:pt idx="5">
                  <c:v>19.121931309470273</c:v>
                </c:pt>
                <c:pt idx="6">
                  <c:v>19.60991250970784</c:v>
                </c:pt>
                <c:pt idx="7">
                  <c:v>20.085127239562837</c:v>
                </c:pt>
                <c:pt idx="8">
                  <c:v>20.550823455191612</c:v>
                </c:pt>
                <c:pt idx="9">
                  <c:v>21.007860372539007</c:v>
                </c:pt>
                <c:pt idx="10">
                  <c:v>21.457026700096556</c:v>
                </c:pt>
                <c:pt idx="11">
                  <c:v>21.89829788943586</c:v>
                </c:pt>
                <c:pt idx="12">
                  <c:v>22.332149715453433</c:v>
                </c:pt>
                <c:pt idx="13">
                  <c:v>22.760518347022114</c:v>
                </c:pt>
                <c:pt idx="14">
                  <c:v>23.183858834892021</c:v>
                </c:pt>
                <c:pt idx="15">
                  <c:v>23.602592901042005</c:v>
                </c:pt>
                <c:pt idx="16">
                  <c:v>24.016738561893238</c:v>
                </c:pt>
                <c:pt idx="17">
                  <c:v>24.426372494795928</c:v>
                </c:pt>
                <c:pt idx="18">
                  <c:v>24.832702463721002</c:v>
                </c:pt>
                <c:pt idx="19">
                  <c:v>25.235975602270425</c:v>
                </c:pt>
                <c:pt idx="20">
                  <c:v>25.636419400749407</c:v>
                </c:pt>
                <c:pt idx="21">
                  <c:v>26.034052593116698</c:v>
                </c:pt>
                <c:pt idx="22">
                  <c:v>26.428760567706167</c:v>
                </c:pt>
                <c:pt idx="23">
                  <c:v>26.821311307456678</c:v>
                </c:pt>
                <c:pt idx="24">
                  <c:v>27.211819099330175</c:v>
                </c:pt>
                <c:pt idx="25">
                  <c:v>27.600384178098594</c:v>
                </c:pt>
                <c:pt idx="26">
                  <c:v>27.986986110055213</c:v>
                </c:pt>
                <c:pt idx="27">
                  <c:v>28.371354525793567</c:v>
                </c:pt>
                <c:pt idx="28">
                  <c:v>28.754007295837042</c:v>
                </c:pt>
                <c:pt idx="29">
                  <c:v>29.134958384152185</c:v>
                </c:pt>
                <c:pt idx="30">
                  <c:v>29.514210503401944</c:v>
                </c:pt>
                <c:pt idx="31">
                  <c:v>29.891684413538428</c:v>
                </c:pt>
                <c:pt idx="32">
                  <c:v>30.266901996494642</c:v>
                </c:pt>
                <c:pt idx="33">
                  <c:v>30.640305118521752</c:v>
                </c:pt>
                <c:pt idx="34">
                  <c:v>31.011852245909957</c:v>
                </c:pt>
                <c:pt idx="35">
                  <c:v>31.381502835291716</c:v>
                </c:pt>
                <c:pt idx="36">
                  <c:v>31.749177233065378</c:v>
                </c:pt>
                <c:pt idx="37">
                  <c:v>32.11424836570955</c:v>
                </c:pt>
                <c:pt idx="38">
                  <c:v>32.477275479101444</c:v>
                </c:pt>
                <c:pt idx="39">
                  <c:v>32.838225213987052</c:v>
                </c:pt>
                <c:pt idx="40">
                  <c:v>33.197065241389843</c:v>
                </c:pt>
                <c:pt idx="41">
                  <c:v>33.553764261892923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0A-4845-AB66-7380F3FD03F3}"/>
            </c:ext>
          </c:extLst>
        </c:ser>
        <c:ser>
          <c:idx val="4"/>
          <c:order val="2"/>
          <c:tx>
            <c:strRef>
              <c:f>Скважина_расчет!$AA$57</c:f>
              <c:strCache>
                <c:ptCount val="1"/>
                <c:pt idx="0">
                  <c:v>Вариант №3 с эмульсией и коэффициентом деградации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Скважина_расчет!$AH$60:$AH$101</c:f>
              <c:numCache>
                <c:formatCode>General</c:formatCode>
                <c:ptCount val="42"/>
                <c:pt idx="0">
                  <c:v>15.764156206639354</c:v>
                </c:pt>
                <c:pt idx="1">
                  <c:v>16.461531649126464</c:v>
                </c:pt>
                <c:pt idx="2">
                  <c:v>17.804027097645335</c:v>
                </c:pt>
                <c:pt idx="3">
                  <c:v>18.401712003043549</c:v>
                </c:pt>
                <c:pt idx="4">
                  <c:v>18.98211599937764</c:v>
                </c:pt>
                <c:pt idx="5">
                  <c:v>19.546998753939171</c:v>
                </c:pt>
                <c:pt idx="6">
                  <c:v>20.096448854918389</c:v>
                </c:pt>
                <c:pt idx="7">
                  <c:v>20.63227180476736</c:v>
                </c:pt>
                <c:pt idx="8">
                  <c:v>21.158049323961027</c:v>
                </c:pt>
                <c:pt idx="9">
                  <c:v>21.674769635826891</c:v>
                </c:pt>
                <c:pt idx="10">
                  <c:v>22.183335532447789</c:v>
                </c:pt>
                <c:pt idx="11">
                  <c:v>22.683815710540379</c:v>
                </c:pt>
                <c:pt idx="12">
                  <c:v>23.17680630325734</c:v>
                </c:pt>
                <c:pt idx="13">
                  <c:v>23.664329801316242</c:v>
                </c:pt>
                <c:pt idx="14">
                  <c:v>24.146884833036836</c:v>
                </c:pt>
                <c:pt idx="15">
                  <c:v>24.624928763093642</c:v>
                </c:pt>
                <c:pt idx="16">
                  <c:v>25.098521767504771</c:v>
                </c:pt>
                <c:pt idx="17">
                  <c:v>25.567777449469236</c:v>
                </c:pt>
                <c:pt idx="18">
                  <c:v>26.033869169560418</c:v>
                </c:pt>
                <c:pt idx="19">
                  <c:v>26.497031272787911</c:v>
                </c:pt>
                <c:pt idx="20">
                  <c:v>26.957471836126867</c:v>
                </c:pt>
                <c:pt idx="21">
                  <c:v>27.415184968999643</c:v>
                </c:pt>
                <c:pt idx="22">
                  <c:v>27.869994487658609</c:v>
                </c:pt>
                <c:pt idx="23">
                  <c:v>28.322592290602969</c:v>
                </c:pt>
                <c:pt idx="24">
                  <c:v>28.773029292979849</c:v>
                </c:pt>
                <c:pt idx="25">
                  <c:v>29.221336185103596</c:v>
                </c:pt>
                <c:pt idx="26">
                  <c:v>29.667392497433557</c:v>
                </c:pt>
                <c:pt idx="27">
                  <c:v>30.110706298428962</c:v>
                </c:pt>
                <c:pt idx="28">
                  <c:v>30.551771337527416</c:v>
                </c:pt>
                <c:pt idx="29">
                  <c:v>30.990524578071501</c:v>
                </c:pt>
                <c:pt idx="30">
                  <c:v>31.426904017895115</c:v>
                </c:pt>
                <c:pt idx="31">
                  <c:v>31.860747670181379</c:v>
                </c:pt>
                <c:pt idx="32">
                  <c:v>32.291347450090569</c:v>
                </c:pt>
                <c:pt idx="33">
                  <c:v>32.719349022891905</c:v>
                </c:pt>
                <c:pt idx="34">
                  <c:v>33.144701875991053</c:v>
                </c:pt>
                <c:pt idx="35">
                  <c:v>33.56735714597059</c:v>
                </c:pt>
                <c:pt idx="36">
                  <c:v>33.98721093596766</c:v>
                </c:pt>
                <c:pt idx="37">
                  <c:v>34.403391748156345</c:v>
                </c:pt>
                <c:pt idx="38">
                  <c:v>34.816701657149935</c:v>
                </c:pt>
                <c:pt idx="39">
                  <c:v>35.227102712251444</c:v>
                </c:pt>
                <c:pt idx="40">
                  <c:v>35.634558483166394</c:v>
                </c:pt>
                <c:pt idx="41">
                  <c:v>36.039034057773058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0A-4845-AB66-7380F3FD0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97032"/>
        <c:axId val="491688832"/>
      </c:scatterChart>
      <c:valAx>
        <c:axId val="491697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Ступени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88832"/>
        <c:crosses val="autoZero"/>
        <c:crossBetween val="midCat"/>
      </c:valAx>
      <c:valAx>
        <c:axId val="49168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 смеси,</a:t>
                </a:r>
                <a:r>
                  <a:rPr lang="ru-RU" baseline="0"/>
                  <a:t> </a:t>
                </a:r>
                <a:r>
                  <a:rPr lang="ru-RU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˚С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97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4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потребляемой</a:t>
            </a:r>
            <a:r>
              <a:rPr lang="ru-RU" baseline="0"/>
              <a:t> мощности</a:t>
            </a:r>
            <a:r>
              <a:rPr lang="ru-RU"/>
              <a:t> </a:t>
            </a:r>
            <a:r>
              <a:rPr lang="ru-RU" baseline="0"/>
              <a:t>по ступеням в ЭЦН</a:t>
            </a:r>
            <a:endParaRPr lang="ru-RU"/>
          </a:p>
        </c:rich>
      </c:tx>
      <c:layout>
        <c:manualLayout>
          <c:xMode val="edge"/>
          <c:yMode val="edge"/>
          <c:x val="0.26116587421058224"/>
          <c:y val="8.767122783324471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Скважина_расчет!$AJ$57</c:f>
              <c:strCache>
                <c:ptCount val="1"/>
                <c:pt idx="0">
                  <c:v>Вариант №1 с исходными данными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Скважина_расчет!$AM$60:$AM$101</c:f>
              <c:numCache>
                <c:formatCode>General</c:formatCode>
                <c:ptCount val="42"/>
                <c:pt idx="0">
                  <c:v>252.56383801233369</c:v>
                </c:pt>
                <c:pt idx="1">
                  <c:v>273.47457562216744</c:v>
                </c:pt>
                <c:pt idx="2">
                  <c:v>2067.3255922084413</c:v>
                </c:pt>
                <c:pt idx="3">
                  <c:v>1950.1925295185767</c:v>
                </c:pt>
                <c:pt idx="4">
                  <c:v>1876.0083944628047</c:v>
                </c:pt>
                <c:pt idx="5">
                  <c:v>1811.3016969228956</c:v>
                </c:pt>
                <c:pt idx="6">
                  <c:v>1756.8426979901687</c:v>
                </c:pt>
                <c:pt idx="7">
                  <c:v>1710.2610095468385</c:v>
                </c:pt>
                <c:pt idx="8">
                  <c:v>1669.0107363843383</c:v>
                </c:pt>
                <c:pt idx="9">
                  <c:v>1632.2971426295735</c:v>
                </c:pt>
                <c:pt idx="10">
                  <c:v>1599.4480944246886</c:v>
                </c:pt>
                <c:pt idx="11">
                  <c:v>1570.2236155727949</c:v>
                </c:pt>
                <c:pt idx="12">
                  <c:v>1544.1803486968324</c:v>
                </c:pt>
                <c:pt idx="13">
                  <c:v>1520.3758900970297</c:v>
                </c:pt>
                <c:pt idx="14">
                  <c:v>1498.5595928762473</c:v>
                </c:pt>
                <c:pt idx="15">
                  <c:v>1478.5096902556272</c:v>
                </c:pt>
                <c:pt idx="16">
                  <c:v>1460.1654771966871</c:v>
                </c:pt>
                <c:pt idx="17">
                  <c:v>1443.4451051631227</c:v>
                </c:pt>
                <c:pt idx="18">
                  <c:v>1427.8852560222285</c:v>
                </c:pt>
                <c:pt idx="19">
                  <c:v>1413.3816434346495</c:v>
                </c:pt>
                <c:pt idx="20">
                  <c:v>1399.8395530268886</c:v>
                </c:pt>
                <c:pt idx="21">
                  <c:v>1387.2351315078927</c:v>
                </c:pt>
                <c:pt idx="22">
                  <c:v>1375.5820333759566</c:v>
                </c:pt>
                <c:pt idx="23">
                  <c:v>1364.6116235994518</c:v>
                </c:pt>
                <c:pt idx="24">
                  <c:v>1354.2724948190282</c:v>
                </c:pt>
                <c:pt idx="25">
                  <c:v>1344.5171626524466</c:v>
                </c:pt>
                <c:pt idx="26">
                  <c:v>1335.3311194188484</c:v>
                </c:pt>
                <c:pt idx="27">
                  <c:v>1326.7549316892687</c:v>
                </c:pt>
                <c:pt idx="28">
                  <c:v>1318.6155112931838</c:v>
                </c:pt>
                <c:pt idx="29">
                  <c:v>1310.8844460443026</c:v>
                </c:pt>
                <c:pt idx="30">
                  <c:v>1303.5351780640449</c:v>
                </c:pt>
                <c:pt idx="31">
                  <c:v>1296.5560289700388</c:v>
                </c:pt>
                <c:pt idx="32">
                  <c:v>1289.9932426494261</c:v>
                </c:pt>
                <c:pt idx="33">
                  <c:v>1283.7269424839396</c:v>
                </c:pt>
                <c:pt idx="34">
                  <c:v>1277.7400598729484</c:v>
                </c:pt>
                <c:pt idx="35">
                  <c:v>1272.0164973791825</c:v>
                </c:pt>
                <c:pt idx="36">
                  <c:v>1266.5457100158401</c:v>
                </c:pt>
                <c:pt idx="37">
                  <c:v>1261.3724695816986</c:v>
                </c:pt>
                <c:pt idx="38">
                  <c:v>1256.4093872838123</c:v>
                </c:pt>
                <c:pt idx="39">
                  <c:v>1251.645556068712</c:v>
                </c:pt>
                <c:pt idx="40">
                  <c:v>1247.070625555197</c:v>
                </c:pt>
                <c:pt idx="41">
                  <c:v>1242.6747975918779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26-4DBA-A2CF-1927EFD11B38}"/>
            </c:ext>
          </c:extLst>
        </c:ser>
        <c:ser>
          <c:idx val="3"/>
          <c:order val="1"/>
          <c:tx>
            <c:strRef>
              <c:f>Скважина_расчет!$AS$57</c:f>
              <c:strCache>
                <c:ptCount val="1"/>
                <c:pt idx="0">
                  <c:v>Вариант №2 с эмульсией, но без коэффициента деградации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Скважина_расчет!$AW$60:$AW$101</c:f>
              <c:numCache>
                <c:formatCode>General</c:formatCode>
                <c:ptCount val="42"/>
                <c:pt idx="0">
                  <c:v>302.37853968033454</c:v>
                </c:pt>
                <c:pt idx="1">
                  <c:v>351.90282011876491</c:v>
                </c:pt>
                <c:pt idx="2">
                  <c:v>2753.0998385862349</c:v>
                </c:pt>
                <c:pt idx="3">
                  <c:v>2655.9375442362052</c:v>
                </c:pt>
                <c:pt idx="4">
                  <c:v>2586.7625199306449</c:v>
                </c:pt>
                <c:pt idx="5">
                  <c:v>2524.854256972892</c:v>
                </c:pt>
                <c:pt idx="6">
                  <c:v>2470.7279463918221</c:v>
                </c:pt>
                <c:pt idx="7">
                  <c:v>2423.3138810731002</c:v>
                </c:pt>
                <c:pt idx="8">
                  <c:v>2380.7929625784845</c:v>
                </c:pt>
                <c:pt idx="9">
                  <c:v>2342.6397202694989</c:v>
                </c:pt>
                <c:pt idx="10">
                  <c:v>2308.3772417816508</c:v>
                </c:pt>
                <c:pt idx="11">
                  <c:v>2277.9298956632256</c:v>
                </c:pt>
                <c:pt idx="12">
                  <c:v>2250.9825822566336</c:v>
                </c:pt>
                <c:pt idx="13">
                  <c:v>2226.5740170881018</c:v>
                </c:pt>
                <c:pt idx="14">
                  <c:v>2204.46171680314</c:v>
                </c:pt>
                <c:pt idx="15">
                  <c:v>2184.4228405698468</c:v>
                </c:pt>
                <c:pt idx="16">
                  <c:v>2166.4135556739516</c:v>
                </c:pt>
                <c:pt idx="17">
                  <c:v>2150.3501784089322</c:v>
                </c:pt>
                <c:pt idx="18">
                  <c:v>2135.6725080090987</c:v>
                </c:pt>
                <c:pt idx="19">
                  <c:v>2122.2439889798993</c:v>
                </c:pt>
                <c:pt idx="20">
                  <c:v>2109.9356112324749</c:v>
                </c:pt>
                <c:pt idx="21">
                  <c:v>2098.6920866188084</c:v>
                </c:pt>
                <c:pt idx="22">
                  <c:v>2088.4739660474288</c:v>
                </c:pt>
                <c:pt idx="23">
                  <c:v>2078.9416468049735</c:v>
                </c:pt>
                <c:pt idx="24">
                  <c:v>2070.0010456443592</c:v>
                </c:pt>
                <c:pt idx="25">
                  <c:v>2061.5613257771683</c:v>
                </c:pt>
                <c:pt idx="26">
                  <c:v>2053.5520025294654</c:v>
                </c:pt>
                <c:pt idx="27">
                  <c:v>2045.9021252063019</c:v>
                </c:pt>
                <c:pt idx="28">
                  <c:v>2038.4277014591196</c:v>
                </c:pt>
                <c:pt idx="29">
                  <c:v>2031.054600897196</c:v>
                </c:pt>
                <c:pt idx="30">
                  <c:v>2023.7106149401134</c:v>
                </c:pt>
                <c:pt idx="31">
                  <c:v>2016.3196357095205</c:v>
                </c:pt>
                <c:pt idx="32">
                  <c:v>2008.7440937662982</c:v>
                </c:pt>
                <c:pt idx="33">
                  <c:v>2000.9692161071171</c:v>
                </c:pt>
                <c:pt idx="34">
                  <c:v>1992.9952835840322</c:v>
                </c:pt>
                <c:pt idx="35">
                  <c:v>1984.8268844154632</c:v>
                </c:pt>
                <c:pt idx="36">
                  <c:v>1976.4671749050947</c:v>
                </c:pt>
                <c:pt idx="37">
                  <c:v>1967.8754685853198</c:v>
                </c:pt>
                <c:pt idx="38">
                  <c:v>1959.1158737876904</c:v>
                </c:pt>
                <c:pt idx="39">
                  <c:v>1950.1949894400145</c:v>
                </c:pt>
                <c:pt idx="40">
                  <c:v>1941.119373959024</c:v>
                </c:pt>
                <c:pt idx="41">
                  <c:v>1931.8955447155995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26-4DBA-A2CF-1927EFD11B38}"/>
            </c:ext>
          </c:extLst>
        </c:ser>
        <c:ser>
          <c:idx val="4"/>
          <c:order val="2"/>
          <c:tx>
            <c:strRef>
              <c:f>Скважина_расчет!$AA$57</c:f>
              <c:strCache>
                <c:ptCount val="1"/>
                <c:pt idx="0">
                  <c:v>Вариант №3 с эмульсией и коэффициентом деградации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Скважина_расчет!$AD$60:$AD$101</c:f>
              <c:numCache>
                <c:formatCode>General</c:formatCode>
                <c:ptCount val="42"/>
                <c:pt idx="0">
                  <c:v>289.30641585336571</c:v>
                </c:pt>
                <c:pt idx="1">
                  <c:v>336.89009258591159</c:v>
                </c:pt>
                <c:pt idx="2">
                  <c:v>2632.1619435636003</c:v>
                </c:pt>
                <c:pt idx="3">
                  <c:v>2537.3379336718917</c:v>
                </c:pt>
                <c:pt idx="4">
                  <c:v>2470.637306947227</c:v>
                </c:pt>
                <c:pt idx="5">
                  <c:v>2411.480463656485</c:v>
                </c:pt>
                <c:pt idx="6">
                  <c:v>2360.3296196520946</c:v>
                </c:pt>
                <c:pt idx="7">
                  <c:v>2316.0539401031961</c:v>
                </c:pt>
                <c:pt idx="8">
                  <c:v>2276.7361424416708</c:v>
                </c:pt>
                <c:pt idx="9">
                  <c:v>2241.8126496433929</c:v>
                </c:pt>
                <c:pt idx="10">
                  <c:v>2210.7776350435438</c:v>
                </c:pt>
                <c:pt idx="11">
                  <c:v>2183.5295400481705</c:v>
                </c:pt>
                <c:pt idx="12">
                  <c:v>2159.7200494440835</c:v>
                </c:pt>
                <c:pt idx="13">
                  <c:v>2138.3768443449526</c:v>
                </c:pt>
                <c:pt idx="14">
                  <c:v>2119.2409925646689</c:v>
                </c:pt>
                <c:pt idx="15">
                  <c:v>2102.0730402333184</c:v>
                </c:pt>
                <c:pt idx="16">
                  <c:v>2086.7970628801813</c:v>
                </c:pt>
                <c:pt idx="17">
                  <c:v>2073.2813434586133</c:v>
                </c:pt>
                <c:pt idx="18">
                  <c:v>2060.9747232669988</c:v>
                </c:pt>
                <c:pt idx="19">
                  <c:v>2049.7208736848602</c:v>
                </c:pt>
                <c:pt idx="20">
                  <c:v>2039.3704635648342</c:v>
                </c:pt>
                <c:pt idx="21">
                  <c:v>2029.8253326044533</c:v>
                </c:pt>
                <c:pt idx="22">
                  <c:v>2020.9658246983081</c:v>
                </c:pt>
                <c:pt idx="23">
                  <c:v>2012.4886494685154</c:v>
                </c:pt>
                <c:pt idx="24">
                  <c:v>2004.2769295512269</c:v>
                </c:pt>
                <c:pt idx="25">
                  <c:v>1996.2170588758524</c:v>
                </c:pt>
                <c:pt idx="26">
                  <c:v>1988.1912333170208</c:v>
                </c:pt>
                <c:pt idx="27">
                  <c:v>1980.010311166302</c:v>
                </c:pt>
                <c:pt idx="28">
                  <c:v>1971.5894170004005</c:v>
                </c:pt>
                <c:pt idx="29">
                  <c:v>1962.9104082906936</c:v>
                </c:pt>
                <c:pt idx="30">
                  <c:v>1953.9706153787542</c:v>
                </c:pt>
                <c:pt idx="31">
                  <c:v>1944.7699285453707</c:v>
                </c:pt>
                <c:pt idx="32">
                  <c:v>1935.2645510779346</c:v>
                </c:pt>
                <c:pt idx="33">
                  <c:v>1925.5355793902734</c:v>
                </c:pt>
                <c:pt idx="34">
                  <c:v>1915.5922568404703</c:v>
                </c:pt>
                <c:pt idx="35">
                  <c:v>1905.4437704678501</c:v>
                </c:pt>
                <c:pt idx="36">
                  <c:v>1895.0955719975066</c:v>
                </c:pt>
                <c:pt idx="37">
                  <c:v>1884.5090431886827</c:v>
                </c:pt>
                <c:pt idx="38">
                  <c:v>1873.752912708514</c:v>
                </c:pt>
                <c:pt idx="39">
                  <c:v>1862.8358062005034</c:v>
                </c:pt>
                <c:pt idx="40">
                  <c:v>1851.7662394691356</c:v>
                </c:pt>
                <c:pt idx="41">
                  <c:v>1840.5526178463042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26-4DBA-A2CF-1927EFD11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97032"/>
        <c:axId val="491688832"/>
      </c:scatterChart>
      <c:valAx>
        <c:axId val="491697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Ступени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88832"/>
        <c:crosses val="autoZero"/>
        <c:crossBetween val="midCat"/>
      </c:valAx>
      <c:valAx>
        <c:axId val="49168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Потребляемая мощность,</a:t>
                </a:r>
                <a:r>
                  <a:rPr lang="ru-RU" baseline="0"/>
                  <a:t> Ватт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97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4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полезной</a:t>
            </a:r>
            <a:r>
              <a:rPr lang="ru-RU" baseline="0"/>
              <a:t> мощности</a:t>
            </a:r>
            <a:r>
              <a:rPr lang="ru-RU"/>
              <a:t> </a:t>
            </a:r>
            <a:r>
              <a:rPr lang="ru-RU" baseline="0"/>
              <a:t>по ступеням в ЭЦН</a:t>
            </a:r>
            <a:endParaRPr lang="ru-RU"/>
          </a:p>
        </c:rich>
      </c:tx>
      <c:layout>
        <c:manualLayout>
          <c:xMode val="edge"/>
          <c:yMode val="edge"/>
          <c:x val="0.26116587421058224"/>
          <c:y val="8.767122783324471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Скважина_расчет!$AJ$57</c:f>
              <c:strCache>
                <c:ptCount val="1"/>
                <c:pt idx="0">
                  <c:v>Вариант №1 с исходными данными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Скважина_расчет!$AN$60:$AN$101</c:f>
              <c:numCache>
                <c:formatCode>General</c:formatCode>
                <c:ptCount val="42"/>
                <c:pt idx="0">
                  <c:v>37.54757180495249</c:v>
                </c:pt>
                <c:pt idx="1">
                  <c:v>48.587493020248147</c:v>
                </c:pt>
                <c:pt idx="2">
                  <c:v>407.75147555137715</c:v>
                </c:pt>
                <c:pt idx="3">
                  <c:v>413.94122837682164</c:v>
                </c:pt>
                <c:pt idx="4">
                  <c:v>417.79197732796626</c:v>
                </c:pt>
                <c:pt idx="5">
                  <c:v>421.14544036471762</c:v>
                </c:pt>
                <c:pt idx="6">
                  <c:v>424.03872650607934</c:v>
                </c:pt>
                <c:pt idx="7">
                  <c:v>426.56634322888658</c:v>
                </c:pt>
                <c:pt idx="8">
                  <c:v>428.84013413311584</c:v>
                </c:pt>
                <c:pt idx="9">
                  <c:v>430.89397676587618</c:v>
                </c:pt>
                <c:pt idx="10">
                  <c:v>432.75699052689117</c:v>
                </c:pt>
                <c:pt idx="11">
                  <c:v>434.4374271160795</c:v>
                </c:pt>
                <c:pt idx="12">
                  <c:v>435.95411188565043</c:v>
                </c:pt>
                <c:pt idx="13">
                  <c:v>437.35360077559108</c:v>
                </c:pt>
                <c:pt idx="14">
                  <c:v>438.64777291163142</c:v>
                </c:pt>
                <c:pt idx="15">
                  <c:v>439.84725030927177</c:v>
                </c:pt>
                <c:pt idx="16">
                  <c:v>440.95408890899807</c:v>
                </c:pt>
                <c:pt idx="17">
                  <c:v>441.97140867288198</c:v>
                </c:pt>
                <c:pt idx="18">
                  <c:v>442.92396863531098</c:v>
                </c:pt>
                <c:pt idx="19">
                  <c:v>443.81709047738696</c:v>
                </c:pt>
                <c:pt idx="20">
                  <c:v>444.65564453118611</c:v>
                </c:pt>
                <c:pt idx="21">
                  <c:v>445.44049680648016</c:v>
                </c:pt>
                <c:pt idx="22">
                  <c:v>446.17026811848621</c:v>
                </c:pt>
                <c:pt idx="23">
                  <c:v>446.86014559364804</c:v>
                </c:pt>
                <c:pt idx="24">
                  <c:v>447.51290170766208</c:v>
                </c:pt>
                <c:pt idx="25">
                  <c:v>448.13111237806112</c:v>
                </c:pt>
                <c:pt idx="26">
                  <c:v>448.71541073156641</c:v>
                </c:pt>
                <c:pt idx="27">
                  <c:v>449.26307857440037</c:v>
                </c:pt>
                <c:pt idx="28">
                  <c:v>449.78432184191928</c:v>
                </c:pt>
                <c:pt idx="29">
                  <c:v>450.28074055607681</c:v>
                </c:pt>
                <c:pt idx="30">
                  <c:v>450.75383728286681</c:v>
                </c:pt>
                <c:pt idx="31">
                  <c:v>451.20421199183966</c:v>
                </c:pt>
                <c:pt idx="32">
                  <c:v>451.62886106885605</c:v>
                </c:pt>
                <c:pt idx="33">
                  <c:v>452.03508518374741</c:v>
                </c:pt>
                <c:pt idx="34">
                  <c:v>452.42387983482126</c:v>
                </c:pt>
                <c:pt idx="35">
                  <c:v>452.79618747435626</c:v>
                </c:pt>
                <c:pt idx="36">
                  <c:v>453.15260798702059</c:v>
                </c:pt>
                <c:pt idx="37">
                  <c:v>453.49023287697412</c:v>
                </c:pt>
                <c:pt idx="38">
                  <c:v>453.81452048619911</c:v>
                </c:pt>
                <c:pt idx="39">
                  <c:v>454.12612560067697</c:v>
                </c:pt>
                <c:pt idx="40">
                  <c:v>454.42567151539276</c:v>
                </c:pt>
                <c:pt idx="41">
                  <c:v>454.71375026862768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37-40E3-A611-1C119C88C04B}"/>
            </c:ext>
          </c:extLst>
        </c:ser>
        <c:ser>
          <c:idx val="3"/>
          <c:order val="1"/>
          <c:tx>
            <c:strRef>
              <c:f>Скважина_расчет!$AS$57</c:f>
              <c:strCache>
                <c:ptCount val="1"/>
                <c:pt idx="0">
                  <c:v>Вариант №2 с эмульсией, но без коэффициента деградации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Скважина_расчет!$AX$60:$AX$101</c:f>
              <c:numCache>
                <c:formatCode>General</c:formatCode>
                <c:ptCount val="42"/>
                <c:pt idx="0">
                  <c:v>35.190852508389526</c:v>
                </c:pt>
                <c:pt idx="1">
                  <c:v>44.774281846144305</c:v>
                </c:pt>
                <c:pt idx="2">
                  <c:v>372.93622515789679</c:v>
                </c:pt>
                <c:pt idx="3">
                  <c:v>377.24758187485861</c:v>
                </c:pt>
                <c:pt idx="4">
                  <c:v>380.38718886548372</c:v>
                </c:pt>
                <c:pt idx="5">
                  <c:v>383.2401745246267</c:v>
                </c:pt>
                <c:pt idx="6">
                  <c:v>385.77208441499647</c:v>
                </c:pt>
                <c:pt idx="7">
                  <c:v>388.01793372518136</c:v>
                </c:pt>
                <c:pt idx="8">
                  <c:v>390.0499908036839</c:v>
                </c:pt>
                <c:pt idx="9">
                  <c:v>391.88786995596467</c:v>
                </c:pt>
                <c:pt idx="10">
                  <c:v>393.54979865916744</c:v>
                </c:pt>
                <c:pt idx="11">
                  <c:v>395.03598346891454</c:v>
                </c:pt>
                <c:pt idx="12">
                  <c:v>396.35765783537931</c:v>
                </c:pt>
                <c:pt idx="13">
                  <c:v>397.55814719392555</c:v>
                </c:pt>
                <c:pt idx="14">
                  <c:v>398.64785638909541</c:v>
                </c:pt>
                <c:pt idx="15">
                  <c:v>399.63648982890891</c:v>
                </c:pt>
                <c:pt idx="16">
                  <c:v>400.52509131908181</c:v>
                </c:pt>
                <c:pt idx="17">
                  <c:v>401.31664606009195</c:v>
                </c:pt>
                <c:pt idx="18">
                  <c:v>402.03848623081171</c:v>
                </c:pt>
                <c:pt idx="19">
                  <c:v>402.69714502428468</c:v>
                </c:pt>
                <c:pt idx="20">
                  <c:v>403.29886893590026</c:v>
                </c:pt>
                <c:pt idx="21">
                  <c:v>403.84622496064009</c:v>
                </c:pt>
                <c:pt idx="22">
                  <c:v>404.34105852801554</c:v>
                </c:pt>
                <c:pt idx="23">
                  <c:v>404.8007649164112</c:v>
                </c:pt>
                <c:pt idx="24">
                  <c:v>405.23024018885235</c:v>
                </c:pt>
                <c:pt idx="25">
                  <c:v>405.63425235034094</c:v>
                </c:pt>
                <c:pt idx="26">
                  <c:v>406.01660570025706</c:v>
                </c:pt>
                <c:pt idx="27">
                  <c:v>406.38141461651452</c:v>
                </c:pt>
                <c:pt idx="28">
                  <c:v>406.73828951705678</c:v>
                </c:pt>
                <c:pt idx="29">
                  <c:v>407.09132942209527</c:v>
                </c:pt>
                <c:pt idx="30">
                  <c:v>407.44455441020642</c:v>
                </c:pt>
                <c:pt idx="31">
                  <c:v>407.80230834621261</c:v>
                </c:pt>
                <c:pt idx="32">
                  <c:v>408.1728555824663</c:v>
                </c:pt>
                <c:pt idx="33">
                  <c:v>408.55658941069453</c:v>
                </c:pt>
                <c:pt idx="34">
                  <c:v>408.95355079595885</c:v>
                </c:pt>
                <c:pt idx="35">
                  <c:v>409.36353609837823</c:v>
                </c:pt>
                <c:pt idx="36">
                  <c:v>409.7864651325288</c:v>
                </c:pt>
                <c:pt idx="37">
                  <c:v>410.2253396943039</c:v>
                </c:pt>
                <c:pt idx="38">
                  <c:v>410.67594822602945</c:v>
                </c:pt>
                <c:pt idx="39">
                  <c:v>411.13796861603714</c:v>
                </c:pt>
                <c:pt idx="40">
                  <c:v>411.61107996993337</c:v>
                </c:pt>
                <c:pt idx="41">
                  <c:v>412.09496262837246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37-40E3-A611-1C119C88C04B}"/>
            </c:ext>
          </c:extLst>
        </c:ser>
        <c:ser>
          <c:idx val="4"/>
          <c:order val="2"/>
          <c:tx>
            <c:strRef>
              <c:f>Скважина_расчет!$AA$57</c:f>
              <c:strCache>
                <c:ptCount val="1"/>
                <c:pt idx="0">
                  <c:v>Вариант №3 с эмульсией и коэффициентом деградации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Скважина_расчет!$AE$60:$AE$101</c:f>
              <c:numCache>
                <c:formatCode>General</c:formatCode>
                <c:ptCount val="42"/>
                <c:pt idx="0">
                  <c:v>30.393762084937762</c:v>
                </c:pt>
                <c:pt idx="1">
                  <c:v>38.489424613254037</c:v>
                </c:pt>
                <c:pt idx="2">
                  <c:v>320.12498937597883</c:v>
                </c:pt>
                <c:pt idx="3">
                  <c:v>323.45716522111474</c:v>
                </c:pt>
                <c:pt idx="4">
                  <c:v>325.85201254826518</c:v>
                </c:pt>
                <c:pt idx="5">
                  <c:v>328.00645340143916</c:v>
                </c:pt>
                <c:pt idx="6">
                  <c:v>329.89490654555937</c:v>
                </c:pt>
                <c:pt idx="7">
                  <c:v>331.54744377294435</c:v>
                </c:pt>
                <c:pt idx="8">
                  <c:v>333.02577818822482</c:v>
                </c:pt>
                <c:pt idx="9">
                  <c:v>334.34711090514236</c:v>
                </c:pt>
                <c:pt idx="10">
                  <c:v>335.52719860154258</c:v>
                </c:pt>
                <c:pt idx="11">
                  <c:v>336.56723593154726</c:v>
                </c:pt>
                <c:pt idx="12">
                  <c:v>337.47762846042355</c:v>
                </c:pt>
                <c:pt idx="13">
                  <c:v>338.29368653994067</c:v>
                </c:pt>
                <c:pt idx="14">
                  <c:v>339.0244996019905</c:v>
                </c:pt>
                <c:pt idx="15">
                  <c:v>339.67860973270848</c:v>
                </c:pt>
                <c:pt idx="16">
                  <c:v>340.25828299062613</c:v>
                </c:pt>
                <c:pt idx="17">
                  <c:v>340.76807488453676</c:v>
                </c:pt>
                <c:pt idx="18">
                  <c:v>341.22961083426969</c:v>
                </c:pt>
                <c:pt idx="19">
                  <c:v>341.64904921930469</c:v>
                </c:pt>
                <c:pt idx="20">
                  <c:v>342.03234348831842</c:v>
                </c:pt>
                <c:pt idx="21">
                  <c:v>342.38349860788009</c:v>
                </c:pt>
                <c:pt idx="22">
                  <c:v>342.70762773644907</c:v>
                </c:pt>
                <c:pt idx="23">
                  <c:v>343.01713222887628</c:v>
                </c:pt>
                <c:pt idx="24">
                  <c:v>343.31700385625584</c:v>
                </c:pt>
                <c:pt idx="25">
                  <c:v>343.61213552001726</c:v>
                </c:pt>
                <c:pt idx="26">
                  <c:v>343.9077648133985</c:v>
                </c:pt>
                <c:pt idx="27">
                  <c:v>344.2126421466524</c:v>
                </c:pt>
                <c:pt idx="28">
                  <c:v>344.53010933307297</c:v>
                </c:pt>
                <c:pt idx="29">
                  <c:v>344.8610454123172</c:v>
                </c:pt>
                <c:pt idx="30">
                  <c:v>345.20564429772759</c:v>
                </c:pt>
                <c:pt idx="31">
                  <c:v>345.56407733627429</c:v>
                </c:pt>
                <c:pt idx="32">
                  <c:v>345.93896330655389</c:v>
                </c:pt>
                <c:pt idx="33">
                  <c:v>346.32615561121207</c:v>
                </c:pt>
                <c:pt idx="34">
                  <c:v>346.72531621186334</c:v>
                </c:pt>
                <c:pt idx="35">
                  <c:v>347.13610856229701</c:v>
                </c:pt>
                <c:pt idx="36">
                  <c:v>347.55841527677484</c:v>
                </c:pt>
                <c:pt idx="37">
                  <c:v>347.99482521456497</c:v>
                </c:pt>
                <c:pt idx="38">
                  <c:v>348.44155495134572</c:v>
                </c:pt>
                <c:pt idx="39">
                  <c:v>348.8982829170975</c:v>
                </c:pt>
                <c:pt idx="40">
                  <c:v>349.36469053095107</c:v>
                </c:pt>
                <c:pt idx="41">
                  <c:v>349.84046222023204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37-40E3-A611-1C119C88C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97032"/>
        <c:axId val="491688832"/>
      </c:scatterChart>
      <c:valAx>
        <c:axId val="491697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Ступени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88832"/>
        <c:crosses val="autoZero"/>
        <c:crossBetween val="midCat"/>
      </c:valAx>
      <c:valAx>
        <c:axId val="49168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Полезная мощность,</a:t>
                </a:r>
                <a:r>
                  <a:rPr lang="ru-RU" baseline="0"/>
                  <a:t> Ватт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97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4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КПД </a:t>
            </a:r>
            <a:r>
              <a:rPr lang="ru-RU" baseline="0"/>
              <a:t>по ступеням в ЭЦН</a:t>
            </a:r>
            <a:endParaRPr lang="ru-RU"/>
          </a:p>
        </c:rich>
      </c:tx>
      <c:layout>
        <c:manualLayout>
          <c:xMode val="edge"/>
          <c:yMode val="edge"/>
          <c:x val="0.26116587421058224"/>
          <c:y val="8.767122783324471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797498056976212"/>
          <c:y val="8.934742496364223E-2"/>
          <c:w val="0.86195556684827646"/>
          <c:h val="0.6140704329275863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Скважина_расчет!$AJ$55</c:f>
              <c:strCache>
                <c:ptCount val="1"/>
                <c:pt idx="0">
                  <c:v>Вариант №1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Скважина_расчет!$AK$60:$AK$101</c:f>
              <c:numCache>
                <c:formatCode>General</c:formatCode>
                <c:ptCount val="42"/>
                <c:pt idx="0">
                  <c:v>0.14866566845218315</c:v>
                </c:pt>
                <c:pt idx="1">
                  <c:v>0.16568080394970019</c:v>
                </c:pt>
                <c:pt idx="2">
                  <c:v>0.17987694599084744</c:v>
                </c:pt>
                <c:pt idx="3">
                  <c:v>0.18717241158468201</c:v>
                </c:pt>
                <c:pt idx="4">
                  <c:v>0.19350685907687593</c:v>
                </c:pt>
                <c:pt idx="5">
                  <c:v>0.19922882190548277</c:v>
                </c:pt>
                <c:pt idx="6">
                  <c:v>0.20443991703012046</c:v>
                </c:pt>
                <c:pt idx="7">
                  <c:v>0.20924683830655638</c:v>
                </c:pt>
                <c:pt idx="8">
                  <c:v>0.21376911534195916</c:v>
                </c:pt>
                <c:pt idx="9">
                  <c:v>0.21803983757881573</c:v>
                </c:pt>
                <c:pt idx="10">
                  <c:v>0.22208670164710681</c:v>
                </c:pt>
                <c:pt idx="11">
                  <c:v>0.22591184089736702</c:v>
                </c:pt>
                <c:pt idx="12">
                  <c:v>0.2295288890937526</c:v>
                </c:pt>
                <c:pt idx="13">
                  <c:v>0.23299094509893722</c:v>
                </c:pt>
                <c:pt idx="14">
                  <c:v>0.23630945046537277</c:v>
                </c:pt>
                <c:pt idx="15">
                  <c:v>0.23949477708463524</c:v>
                </c:pt>
                <c:pt idx="16">
                  <c:v>0.24254506629701583</c:v>
                </c:pt>
                <c:pt idx="17">
                  <c:v>0.24545903215402345</c:v>
                </c:pt>
                <c:pt idx="18">
                  <c:v>0.24827060001739459</c:v>
                </c:pt>
                <c:pt idx="19">
                  <c:v>0.25098560888201105</c:v>
                </c:pt>
                <c:pt idx="20">
                  <c:v>0.25360949757139112</c:v>
                </c:pt>
                <c:pt idx="21">
                  <c:v>0.25614093927493936</c:v>
                </c:pt>
                <c:pt idx="22">
                  <c:v>0.25857388538932524</c:v>
                </c:pt>
                <c:pt idx="23">
                  <c:v>0.26093306652112641</c:v>
                </c:pt>
                <c:pt idx="24">
                  <c:v>0.26322198152891207</c:v>
                </c:pt>
                <c:pt idx="25">
                  <c:v>0.26544393579930753</c:v>
                </c:pt>
                <c:pt idx="26">
                  <c:v>0.26759844708407909</c:v>
                </c:pt>
                <c:pt idx="27">
                  <c:v>0.26967765888224526</c:v>
                </c:pt>
                <c:pt idx="28">
                  <c:v>0.27170089965579153</c:v>
                </c:pt>
                <c:pt idx="29">
                  <c:v>0.27367046687469132</c:v>
                </c:pt>
                <c:pt idx="30">
                  <c:v>0.27558855049269743</c:v>
                </c:pt>
                <c:pt idx="31">
                  <c:v>0.27745536013181349</c:v>
                </c:pt>
                <c:pt idx="32">
                  <c:v>0.27926239032933314</c:v>
                </c:pt>
                <c:pt idx="33">
                  <c:v>0.28102541968942618</c:v>
                </c:pt>
                <c:pt idx="34">
                  <c:v>0.28274605183984286</c:v>
                </c:pt>
                <c:pt idx="35">
                  <c:v>0.28442582509814823</c:v>
                </c:pt>
                <c:pt idx="36">
                  <c:v>0.28606546042257991</c:v>
                </c:pt>
                <c:pt idx="37">
                  <c:v>0.28765632915786965</c:v>
                </c:pt>
                <c:pt idx="38">
                  <c:v>0.28921170079569775</c:v>
                </c:pt>
                <c:pt idx="39">
                  <c:v>0.29073274551785866</c:v>
                </c:pt>
                <c:pt idx="40">
                  <c:v>0.29222059112816884</c:v>
                </c:pt>
                <c:pt idx="41">
                  <c:v>0.29367632331231452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5C-4389-BCD4-DCBC3F332B2C}"/>
            </c:ext>
          </c:extLst>
        </c:ser>
        <c:ser>
          <c:idx val="3"/>
          <c:order val="1"/>
          <c:tx>
            <c:strRef>
              <c:f>Скважина_расчет!$AS$55</c:f>
              <c:strCache>
                <c:ptCount val="1"/>
                <c:pt idx="0">
                  <c:v>Вариант №2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Скважина_расчет!$AU$60:$AU$101</c:f>
              <c:numCache>
                <c:formatCode>General</c:formatCode>
                <c:ptCount val="42"/>
                <c:pt idx="0">
                  <c:v>0.11638012587001786</c:v>
                </c:pt>
                <c:pt idx="1">
                  <c:v>0.12263782386411394</c:v>
                </c:pt>
                <c:pt idx="2">
                  <c:v>0.1284509049418931</c:v>
                </c:pt>
                <c:pt idx="3">
                  <c:v>0.13165331436157485</c:v>
                </c:pt>
                <c:pt idx="4">
                  <c:v>0.13452918481679202</c:v>
                </c:pt>
                <c:pt idx="5">
                  <c:v>0.13718793701311427</c:v>
                </c:pt>
                <c:pt idx="6">
                  <c:v>0.13965647902921807</c:v>
                </c:pt>
                <c:pt idx="7">
                  <c:v>0.14196378648555422</c:v>
                </c:pt>
                <c:pt idx="8">
                  <c:v>0.14415093944640789</c:v>
                </c:pt>
                <c:pt idx="9">
                  <c:v>0.14622746880446968</c:v>
                </c:pt>
                <c:pt idx="10">
                  <c:v>0.14820153265590161</c:v>
                </c:pt>
                <c:pt idx="11">
                  <c:v>0.15006970624275565</c:v>
                </c:pt>
                <c:pt idx="12">
                  <c:v>0.1518339292831844</c:v>
                </c:pt>
                <c:pt idx="13">
                  <c:v>0.15351809588490473</c:v>
                </c:pt>
                <c:pt idx="14">
                  <c:v>0.15512644279135504</c:v>
                </c:pt>
                <c:pt idx="15">
                  <c:v>0.15666295346952838</c:v>
                </c:pt>
                <c:pt idx="16">
                  <c:v>0.15812505876056104</c:v>
                </c:pt>
                <c:pt idx="17">
                  <c:v>0.15951041921900316</c:v>
                </c:pt>
                <c:pt idx="18">
                  <c:v>0.16083730337984664</c:v>
                </c:pt>
                <c:pt idx="19">
                  <c:v>0.16210862801443751</c:v>
                </c:pt>
                <c:pt idx="20">
                  <c:v>0.16332721764026298</c:v>
                </c:pt>
                <c:pt idx="21">
                  <c:v>0.16449210885501597</c:v>
                </c:pt>
                <c:pt idx="22">
                  <c:v>0.16559986597377091</c:v>
                </c:pt>
                <c:pt idx="23">
                  <c:v>0.16666514380547445</c:v>
                </c:pt>
                <c:pt idx="24">
                  <c:v>0.1676903354053654</c:v>
                </c:pt>
                <c:pt idx="25">
                  <c:v>0.16867779343781525</c:v>
                </c:pt>
                <c:pt idx="26">
                  <c:v>0.16962790242153969</c:v>
                </c:pt>
                <c:pt idx="27">
                  <c:v>0.17053764089042178</c:v>
                </c:pt>
                <c:pt idx="28">
                  <c:v>0.17141855274124948</c:v>
                </c:pt>
                <c:pt idx="29">
                  <c:v>0.17227278827731157</c:v>
                </c:pt>
                <c:pt idx="30">
                  <c:v>0.17310247627619518</c:v>
                </c:pt>
                <c:pt idx="31">
                  <c:v>0.17390894819561492</c:v>
                </c:pt>
                <c:pt idx="32">
                  <c:v>0.17469066178738654</c:v>
                </c:pt>
                <c:pt idx="33">
                  <c:v>0.17545589518058435</c:v>
                </c:pt>
                <c:pt idx="34">
                  <c:v>0.17620635459762757</c:v>
                </c:pt>
                <c:pt idx="35">
                  <c:v>0.17694362867936075</c:v>
                </c:pt>
                <c:pt idx="36">
                  <c:v>0.17766899175246173</c:v>
                </c:pt>
                <c:pt idx="37">
                  <c:v>0.17838157378236852</c:v>
                </c:pt>
                <c:pt idx="38">
                  <c:v>0.17908598951223381</c:v>
                </c:pt>
                <c:pt idx="39">
                  <c:v>0.17978321412666215</c:v>
                </c:pt>
                <c:pt idx="40">
                  <c:v>0.18047416010267514</c:v>
                </c:pt>
                <c:pt idx="41">
                  <c:v>0.18115967779207118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5C-4389-BCD4-DCBC3F332B2C}"/>
            </c:ext>
          </c:extLst>
        </c:ser>
        <c:ser>
          <c:idx val="4"/>
          <c:order val="2"/>
          <c:tx>
            <c:strRef>
              <c:f>Скважина_расчет!$AB$55</c:f>
              <c:strCache>
                <c:ptCount val="1"/>
                <c:pt idx="0">
                  <c:v>Вариант №3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Скважина_расчет!$AB$60:$AB$101</c:f>
              <c:numCache>
                <c:formatCode>General</c:formatCode>
                <c:ptCount val="42"/>
                <c:pt idx="0">
                  <c:v>0.10505733858437059</c:v>
                </c:pt>
                <c:pt idx="1">
                  <c:v>0.11015037781237763</c:v>
                </c:pt>
                <c:pt idx="2">
                  <c:v>0.11534544860895264</c:v>
                </c:pt>
                <c:pt idx="3">
                  <c:v>0.11820091446379601</c:v>
                </c:pt>
                <c:pt idx="4">
                  <c:v>0.12075408148358519</c:v>
                </c:pt>
                <c:pt idx="5">
                  <c:v>0.12310310156760146</c:v>
                </c:pt>
                <c:pt idx="6">
                  <c:v>0.12527127639922225</c:v>
                </c:pt>
                <c:pt idx="7">
                  <c:v>0.12728495570351744</c:v>
                </c:pt>
                <c:pt idx="8">
                  <c:v>0.12918339618872679</c:v>
                </c:pt>
                <c:pt idx="9">
                  <c:v>0.13097582050366008</c:v>
                </c:pt>
                <c:pt idx="10">
                  <c:v>0.13267019781507877</c:v>
                </c:pt>
                <c:pt idx="11">
                  <c:v>0.13426351191822311</c:v>
                </c:pt>
                <c:pt idx="12">
                  <c:v>0.13575805745197458</c:v>
                </c:pt>
                <c:pt idx="13">
                  <c:v>0.13717692520867641</c:v>
                </c:pt>
                <c:pt idx="14">
                  <c:v>0.13852445884447454</c:v>
                </c:pt>
                <c:pt idx="15">
                  <c:v>0.13980477474073552</c:v>
                </c:pt>
                <c:pt idx="16">
                  <c:v>0.14101597792958612</c:v>
                </c:pt>
                <c:pt idx="17">
                  <c:v>0.14215670900147367</c:v>
                </c:pt>
                <c:pt idx="18">
                  <c:v>0.14324441228166426</c:v>
                </c:pt>
                <c:pt idx="19">
                  <c:v>0.14428228394440798</c:v>
                </c:pt>
                <c:pt idx="20">
                  <c:v>0.14527344576975387</c:v>
                </c:pt>
                <c:pt idx="21">
                  <c:v>0.14621780592744246</c:v>
                </c:pt>
                <c:pt idx="22">
                  <c:v>0.14711363014132975</c:v>
                </c:pt>
                <c:pt idx="23">
                  <c:v>0.14797438956019435</c:v>
                </c:pt>
                <c:pt idx="24">
                  <c:v>0.14880287362174205</c:v>
                </c:pt>
                <c:pt idx="25">
                  <c:v>0.14960184127624096</c:v>
                </c:pt>
                <c:pt idx="26">
                  <c:v>0.1503726562834635</c:v>
                </c:pt>
                <c:pt idx="27">
                  <c:v>0.15111488907191642</c:v>
                </c:pt>
                <c:pt idx="28">
                  <c:v>0.15183814119669564</c:v>
                </c:pt>
                <c:pt idx="29">
                  <c:v>0.15254468636855215</c:v>
                </c:pt>
                <c:pt idx="30">
                  <c:v>0.15323662233287635</c:v>
                </c:pt>
                <c:pt idx="31">
                  <c:v>0.15391545512864596</c:v>
                </c:pt>
                <c:pt idx="32">
                  <c:v>0.1545811741584209</c:v>
                </c:pt>
                <c:pt idx="33">
                  <c:v>0.15523866516550983</c:v>
                </c:pt>
                <c:pt idx="34">
                  <c:v>0.15588912257911719</c:v>
                </c:pt>
                <c:pt idx="35">
                  <c:v>0.15653365329484917</c:v>
                </c:pt>
                <c:pt idx="36">
                  <c:v>0.15717320560632667</c:v>
                </c:pt>
                <c:pt idx="37">
                  <c:v>0.1578080810005271</c:v>
                </c:pt>
                <c:pt idx="38">
                  <c:v>0.15844047636072336</c:v>
                </c:pt>
                <c:pt idx="39">
                  <c:v>0.15907104842456826</c:v>
                </c:pt>
                <c:pt idx="40">
                  <c:v>0.15970040838959176</c:v>
                </c:pt>
                <c:pt idx="41">
                  <c:v>0.16032912234991054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5C-4389-BCD4-DCBC3F332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97032"/>
        <c:axId val="491688832"/>
      </c:scatterChart>
      <c:valAx>
        <c:axId val="491697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Ступени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88832"/>
        <c:crosses val="autoZero"/>
        <c:crossBetween val="midCat"/>
      </c:valAx>
      <c:valAx>
        <c:axId val="49168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КПД, ед.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97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4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Относительные</a:t>
            </a:r>
            <a:r>
              <a:rPr lang="ru-RU" baseline="0"/>
              <a:t> ошибки расчета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Скважина_расчет!$AB$55</c:f>
              <c:strCache>
                <c:ptCount val="1"/>
                <c:pt idx="0">
                  <c:v>Вариант №3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Скважина_расчет!$AB$5:$AB$14</c:f>
              <c:strCache>
                <c:ptCount val="8"/>
                <c:pt idx="0">
                  <c:v>Р лин.</c:v>
                </c:pt>
                <c:pt idx="1">
                  <c:v>P буф.</c:v>
                </c:pt>
                <c:pt idx="2">
                  <c:v>P пр.</c:v>
                </c:pt>
                <c:pt idx="3">
                  <c:v>P заб.</c:v>
                </c:pt>
                <c:pt idx="4">
                  <c:v>I ПЭД</c:v>
                </c:pt>
                <c:pt idx="5">
                  <c:v>Загрузка ПЭД (F)</c:v>
                </c:pt>
                <c:pt idx="6">
                  <c:v>СУ (передача)</c:v>
                </c:pt>
                <c:pt idx="7">
                  <c:v>Средняя ошибка</c:v>
                </c:pt>
              </c:strCache>
            </c:strRef>
          </c:cat>
          <c:val>
            <c:numRef>
              <c:f>Скважина_расчет!$AC$5:$AC$14</c:f>
              <c:numCache>
                <c:formatCode>0.0%</c:formatCode>
                <c:ptCount val="10"/>
                <c:pt idx="0">
                  <c:v>2.0313934191013797E-2</c:v>
                </c:pt>
                <c:pt idx="1">
                  <c:v>3.9603451354823939E-2</c:v>
                </c:pt>
                <c:pt idx="2">
                  <c:v>5.2884615497248988E-2</c:v>
                </c:pt>
                <c:pt idx="3">
                  <c:v>0</c:v>
                </c:pt>
                <c:pt idx="4">
                  <c:v>3.4031629479647999E-3</c:v>
                </c:pt>
                <c:pt idx="5" formatCode="0.00%">
                  <c:v>2.741208674967309E-2</c:v>
                </c:pt>
                <c:pt idx="6" formatCode="0.00%">
                  <c:v>4.6657551929316097E-3</c:v>
                </c:pt>
                <c:pt idx="7" formatCode="0.00%">
                  <c:v>2.1183286561950891E-2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6-410E-B01E-ECDBC149DBCE}"/>
            </c:ext>
          </c:extLst>
        </c:ser>
        <c:ser>
          <c:idx val="1"/>
          <c:order val="1"/>
          <c:tx>
            <c:strRef>
              <c:f>Скважина_расчет!$AS$55</c:f>
              <c:strCache>
                <c:ptCount val="1"/>
                <c:pt idx="0">
                  <c:v>Вариант №2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Скважина_расчет!$AB$5:$AB$14</c:f>
              <c:strCache>
                <c:ptCount val="8"/>
                <c:pt idx="0">
                  <c:v>Р лин.</c:v>
                </c:pt>
                <c:pt idx="1">
                  <c:v>P буф.</c:v>
                </c:pt>
                <c:pt idx="2">
                  <c:v>P пр.</c:v>
                </c:pt>
                <c:pt idx="3">
                  <c:v>P заб.</c:v>
                </c:pt>
                <c:pt idx="4">
                  <c:v>I ПЭД</c:v>
                </c:pt>
                <c:pt idx="5">
                  <c:v>Загрузка ПЭД (F)</c:v>
                </c:pt>
                <c:pt idx="6">
                  <c:v>СУ (передача)</c:v>
                </c:pt>
                <c:pt idx="7">
                  <c:v>Средняя ошибка</c:v>
                </c:pt>
              </c:strCache>
            </c:strRef>
          </c:cat>
          <c:val>
            <c:numRef>
              <c:f>Скважина_расчет!$AD$5:$AD$14</c:f>
              <c:numCache>
                <c:formatCode>0.0%</c:formatCode>
                <c:ptCount val="10"/>
                <c:pt idx="0">
                  <c:v>0.67945178573027065</c:v>
                </c:pt>
                <c:pt idx="1">
                  <c:v>0.53893389582800655</c:v>
                </c:pt>
                <c:pt idx="2">
                  <c:v>5.2884615497248988E-2</c:v>
                </c:pt>
                <c:pt idx="3">
                  <c:v>0</c:v>
                </c:pt>
                <c:pt idx="4">
                  <c:v>3.674214721127643E-2</c:v>
                </c:pt>
                <c:pt idx="5" formatCode="0.00%">
                  <c:v>0.29082864538009778</c:v>
                </c:pt>
                <c:pt idx="6" formatCode="0.00%">
                  <c:v>0.15255486215557001</c:v>
                </c:pt>
                <c:pt idx="7" formatCode="0.00%">
                  <c:v>0.25019942168606718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C6-410E-B01E-ECDBC149DBCE}"/>
            </c:ext>
          </c:extLst>
        </c:ser>
        <c:ser>
          <c:idx val="2"/>
          <c:order val="2"/>
          <c:tx>
            <c:strRef>
              <c:f>Скважина_расчет!$AJ$55</c:f>
              <c:strCache>
                <c:ptCount val="1"/>
                <c:pt idx="0">
                  <c:v>Вариант №1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Скважина_расчет!$AB$5:$AB$14</c:f>
              <c:strCache>
                <c:ptCount val="8"/>
                <c:pt idx="0">
                  <c:v>Р лин.</c:v>
                </c:pt>
                <c:pt idx="1">
                  <c:v>P буф.</c:v>
                </c:pt>
                <c:pt idx="2">
                  <c:v>P пр.</c:v>
                </c:pt>
                <c:pt idx="3">
                  <c:v>P заб.</c:v>
                </c:pt>
                <c:pt idx="4">
                  <c:v>I ПЭД</c:v>
                </c:pt>
                <c:pt idx="5">
                  <c:v>Загрузка ПЭД (F)</c:v>
                </c:pt>
                <c:pt idx="6">
                  <c:v>СУ (передача)</c:v>
                </c:pt>
                <c:pt idx="7">
                  <c:v>Средняя ошибка</c:v>
                </c:pt>
              </c:strCache>
            </c:strRef>
          </c:cat>
          <c:val>
            <c:numRef>
              <c:f>Скважина_расчет!$AE$5:$AE$14</c:f>
              <c:numCache>
                <c:formatCode>0.0%</c:formatCode>
                <c:ptCount val="10"/>
                <c:pt idx="0">
                  <c:v>1.2220558138572317</c:v>
                </c:pt>
                <c:pt idx="1">
                  <c:v>0.97216481333894322</c:v>
                </c:pt>
                <c:pt idx="2">
                  <c:v>5.2884615497248988E-2</c:v>
                </c:pt>
                <c:pt idx="3">
                  <c:v>0</c:v>
                </c:pt>
                <c:pt idx="4">
                  <c:v>0.29145542081737136</c:v>
                </c:pt>
                <c:pt idx="5" formatCode="0.00%">
                  <c:v>0.11780413114492909</c:v>
                </c:pt>
                <c:pt idx="6" formatCode="0.00%">
                  <c:v>0.22391836459590519</c:v>
                </c:pt>
                <c:pt idx="7" formatCode="0.00%">
                  <c:v>0.41146902275023278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C6-410E-B01E-ECDBC149D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72502392"/>
        <c:axId val="572502720"/>
      </c:barChart>
      <c:catAx>
        <c:axId val="572502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2502720"/>
        <c:crosses val="autoZero"/>
        <c:auto val="1"/>
        <c:lblAlgn val="ctr"/>
        <c:lblOffset val="100"/>
        <c:noMultiLvlLbl val="0"/>
      </c:catAx>
      <c:valAx>
        <c:axId val="572502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2502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Потребляемая энергия УЭЦН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Скважина_расчет!$BH$4</c:f>
              <c:strCache>
                <c:ptCount val="1"/>
                <c:pt idx="0">
                  <c:v>Вариант №1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Скважина_расчет!$BG$8</c:f>
              <c:strCache>
                <c:ptCount val="1"/>
                <c:pt idx="0">
                  <c:v>N СУ</c:v>
                </c:pt>
              </c:strCache>
            </c:strRef>
          </c:cat>
          <c:val>
            <c:numRef>
              <c:f>Скважина_расчет!$BH$8</c:f>
              <c:numCache>
                <c:formatCode>General</c:formatCode>
                <c:ptCount val="1"/>
                <c:pt idx="0">
                  <c:v>63.7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2-4E2C-AA5B-313276F39E36}"/>
            </c:ext>
          </c:extLst>
        </c:ser>
        <c:ser>
          <c:idx val="1"/>
          <c:order val="1"/>
          <c:tx>
            <c:strRef>
              <c:f>Скважина_расчет!$BI$4</c:f>
              <c:strCache>
                <c:ptCount val="1"/>
                <c:pt idx="0">
                  <c:v>Вариант №2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Скважина_расчет!$BG$8</c:f>
              <c:strCache>
                <c:ptCount val="1"/>
                <c:pt idx="0">
                  <c:v>N СУ</c:v>
                </c:pt>
              </c:strCache>
            </c:strRef>
          </c:cat>
          <c:val>
            <c:numRef>
              <c:f>Скважина_расчет!$BI$8</c:f>
              <c:numCache>
                <c:formatCode>General</c:formatCode>
                <c:ptCount val="1"/>
                <c:pt idx="0">
                  <c:v>94.6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E2-4E2C-AA5B-313276F39E36}"/>
            </c:ext>
          </c:extLst>
        </c:ser>
        <c:ser>
          <c:idx val="2"/>
          <c:order val="2"/>
          <c:tx>
            <c:strRef>
              <c:f>Скважина_расчет!$BJ$4</c:f>
              <c:strCache>
                <c:ptCount val="1"/>
                <c:pt idx="0">
                  <c:v>Вариант №3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Скважина_расчет!$BG$8</c:f>
              <c:strCache>
                <c:ptCount val="1"/>
                <c:pt idx="0">
                  <c:v>N СУ</c:v>
                </c:pt>
              </c:strCache>
            </c:strRef>
          </c:cat>
          <c:val>
            <c:numRef>
              <c:f>Скважина_расчет!$BJ$8</c:f>
              <c:numCache>
                <c:formatCode>General</c:formatCode>
                <c:ptCount val="1"/>
                <c:pt idx="0">
                  <c:v>94.6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E2-4E2C-AA5B-313276F39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9823496"/>
        <c:axId val="549827104"/>
      </c:barChart>
      <c:catAx>
        <c:axId val="549823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9827104"/>
        <c:crosses val="autoZero"/>
        <c:auto val="1"/>
        <c:lblAlgn val="ctr"/>
        <c:lblOffset val="100"/>
        <c:noMultiLvlLbl val="0"/>
      </c:catAx>
      <c:valAx>
        <c:axId val="54982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Потребляемая</a:t>
                </a:r>
                <a:r>
                  <a:rPr lang="ru-RU" baseline="0"/>
                  <a:t> мощность,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98234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Распределение давления по ступеням в ЭЦН</a:t>
            </a:r>
          </a:p>
        </c:rich>
      </c:tx>
      <c:layout>
        <c:manualLayout>
          <c:xMode val="edge"/>
          <c:yMode val="edge"/>
          <c:x val="0.26116587421058224"/>
          <c:y val="8.767122783324471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Скважина_расчет!$AJ$55</c:f>
              <c:strCache>
                <c:ptCount val="1"/>
                <c:pt idx="0">
                  <c:v>Вариант №1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Скважина_расчет!$AO$60:$AO$101</c:f>
              <c:numCache>
                <c:formatCode>General</c:formatCode>
                <c:ptCount val="42"/>
                <c:pt idx="0">
                  <c:v>30.558817453165425</c:v>
                </c:pt>
                <c:pt idx="1">
                  <c:v>32.764678688608591</c:v>
                </c:pt>
                <c:pt idx="2">
                  <c:v>37.421734574661933</c:v>
                </c:pt>
                <c:pt idx="3">
                  <c:v>39.700144024252666</c:v>
                </c:pt>
                <c:pt idx="4">
                  <c:v>41.997117338934473</c:v>
                </c:pt>
                <c:pt idx="5">
                  <c:v>44.310457522587654</c:v>
                </c:pt>
                <c:pt idx="6">
                  <c:v>46.639976435884336</c:v>
                </c:pt>
                <c:pt idx="7">
                  <c:v>48.983873246980963</c:v>
                </c:pt>
                <c:pt idx="8">
                  <c:v>51.338504641136943</c:v>
                </c:pt>
                <c:pt idx="9">
                  <c:v>53.702944505283632</c:v>
                </c:pt>
                <c:pt idx="10">
                  <c:v>56.076359199426719</c:v>
                </c:pt>
                <c:pt idx="11">
                  <c:v>58.458877293396363</c:v>
                </c:pt>
                <c:pt idx="12">
                  <c:v>60.850107734710001</c:v>
                </c:pt>
                <c:pt idx="13">
                  <c:v>63.247901725537432</c:v>
                </c:pt>
                <c:pt idx="14">
                  <c:v>65.651813345648023</c:v>
                </c:pt>
                <c:pt idx="15">
                  <c:v>68.061430553302102</c:v>
                </c:pt>
                <c:pt idx="16">
                  <c:v>70.476858079860207</c:v>
                </c:pt>
                <c:pt idx="17">
                  <c:v>72.898169225083493</c:v>
                </c:pt>
                <c:pt idx="18">
                  <c:v>75.32390453075574</c:v>
                </c:pt>
                <c:pt idx="19">
                  <c:v>77.753811664850446</c:v>
                </c:pt>
                <c:pt idx="20">
                  <c:v>80.187653864879522</c:v>
                </c:pt>
                <c:pt idx="21">
                  <c:v>82.62548399028104</c:v>
                </c:pt>
                <c:pt idx="22">
                  <c:v>85.067552684221383</c:v>
                </c:pt>
                <c:pt idx="23">
                  <c:v>87.512786330446772</c:v>
                </c:pt>
                <c:pt idx="24">
                  <c:v>89.9610271483226</c:v>
                </c:pt>
                <c:pt idx="25">
                  <c:v>92.412125604690885</c:v>
                </c:pt>
                <c:pt idx="26">
                  <c:v>94.866092523428648</c:v>
                </c:pt>
                <c:pt idx="27">
                  <c:v>97.32324586001927</c:v>
                </c:pt>
                <c:pt idx="28">
                  <c:v>99.782755464096013</c:v>
                </c:pt>
                <c:pt idx="29">
                  <c:v>102.24451579634626</c:v>
                </c:pt>
                <c:pt idx="30">
                  <c:v>104.70842613443631</c:v>
                </c:pt>
                <c:pt idx="31">
                  <c:v>107.17446790934986</c:v>
                </c:pt>
                <c:pt idx="32">
                  <c:v>109.64297820244457</c:v>
                </c:pt>
                <c:pt idx="33">
                  <c:v>112.11329339862698</c:v>
                </c:pt>
                <c:pt idx="34">
                  <c:v>114.5853394429937</c:v>
                </c:pt>
                <c:pt idx="35">
                  <c:v>117.05904530570741</c:v>
                </c:pt>
                <c:pt idx="36">
                  <c:v>119.53437313849257</c:v>
                </c:pt>
                <c:pt idx="37">
                  <c:v>122.01165656378244</c:v>
                </c:pt>
                <c:pt idx="38">
                  <c:v>124.49035254811938</c:v>
                </c:pt>
                <c:pt idx="39">
                  <c:v>126.97040727977284</c:v>
                </c:pt>
                <c:pt idx="40">
                  <c:v>129.45176894809958</c:v>
                </c:pt>
                <c:pt idx="41">
                  <c:v>131.93438773164445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55-4725-BC97-3CCC9FEEC3D9}"/>
            </c:ext>
          </c:extLst>
        </c:ser>
        <c:ser>
          <c:idx val="3"/>
          <c:order val="1"/>
          <c:tx>
            <c:strRef>
              <c:f>Скважина_расчет!$AS$55</c:f>
              <c:strCache>
                <c:ptCount val="1"/>
                <c:pt idx="0">
                  <c:v>Вариант №2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Скважина_расчет!$AY$60:$AY$101</c:f>
              <c:numCache>
                <c:formatCode>General</c:formatCode>
                <c:ptCount val="42"/>
                <c:pt idx="0">
                  <c:v>30.543055275846548</c:v>
                </c:pt>
                <c:pt idx="1">
                  <c:v>32.583002234064018</c:v>
                </c:pt>
                <c:pt idx="2">
                  <c:v>36.853442784597505</c:v>
                </c:pt>
                <c:pt idx="3">
                  <c:v>38.928821358955652</c:v>
                </c:pt>
                <c:pt idx="4">
                  <c:v>41.019175770071378</c:v>
                </c:pt>
                <c:pt idx="5">
                  <c:v>43.123230974378025</c:v>
                </c:pt>
                <c:pt idx="6">
                  <c:v>45.241189797504752</c:v>
                </c:pt>
                <c:pt idx="7">
                  <c:v>47.371700282724092</c:v>
                </c:pt>
                <c:pt idx="8">
                  <c:v>49.511609866638942</c:v>
                </c:pt>
                <c:pt idx="9">
                  <c:v>51.660086700163603</c:v>
                </c:pt>
                <c:pt idx="10">
                  <c:v>53.816358407592581</c:v>
                </c:pt>
                <c:pt idx="11">
                  <c:v>55.980445594711021</c:v>
                </c:pt>
                <c:pt idx="12">
                  <c:v>58.151852317146535</c:v>
                </c:pt>
                <c:pt idx="13">
                  <c:v>60.328639230014367</c:v>
                </c:pt>
                <c:pt idx="14">
                  <c:v>62.510332132097957</c:v>
                </c:pt>
                <c:pt idx="15">
                  <c:v>64.696488605039761</c:v>
                </c:pt>
                <c:pt idx="16">
                  <c:v>66.887048178696006</c:v>
                </c:pt>
                <c:pt idx="17">
                  <c:v>69.081871814477466</c:v>
                </c:pt>
                <c:pt idx="18">
                  <c:v>71.279768029641033</c:v>
                </c:pt>
                <c:pt idx="19">
                  <c:v>73.480469143894325</c:v>
                </c:pt>
                <c:pt idx="20">
                  <c:v>75.683728250573424</c:v>
                </c:pt>
                <c:pt idx="21">
                  <c:v>77.889483086516179</c:v>
                </c:pt>
                <c:pt idx="22">
                  <c:v>80.097772491810844</c:v>
                </c:pt>
                <c:pt idx="23">
                  <c:v>82.307889899232805</c:v>
                </c:pt>
                <c:pt idx="24">
                  <c:v>84.51971283623719</c:v>
                </c:pt>
                <c:pt idx="25">
                  <c:v>86.733134934270538</c:v>
                </c:pt>
                <c:pt idx="26">
                  <c:v>88.948151589618476</c:v>
                </c:pt>
                <c:pt idx="27">
                  <c:v>91.164962818207812</c:v>
                </c:pt>
                <c:pt idx="28">
                  <c:v>93.383150083007294</c:v>
                </c:pt>
                <c:pt idx="29">
                  <c:v>95.602708703546469</c:v>
                </c:pt>
                <c:pt idx="30">
                  <c:v>97.823647692462814</c:v>
                </c:pt>
                <c:pt idx="31">
                  <c:v>100.04604939178488</c:v>
                </c:pt>
                <c:pt idx="32">
                  <c:v>102.27035422866459</c:v>
                </c:pt>
                <c:pt idx="33">
                  <c:v>104.49623089569013</c:v>
                </c:pt>
                <c:pt idx="34">
                  <c:v>106.72374332377927</c:v>
                </c:pt>
                <c:pt idx="35">
                  <c:v>108.95295430787303</c:v>
                </c:pt>
                <c:pt idx="36">
                  <c:v>111.18396270830007</c:v>
                </c:pt>
                <c:pt idx="37">
                  <c:v>113.4173876804022</c:v>
                </c:pt>
                <c:pt idx="38">
                  <c:v>115.65274504005575</c:v>
                </c:pt>
                <c:pt idx="39">
                  <c:v>117.89008936504177</c:v>
                </c:pt>
                <c:pt idx="40">
                  <c:v>120.12947406161707</c:v>
                </c:pt>
                <c:pt idx="41">
                  <c:v>122.3709513653998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55-4725-BC97-3CCC9FEEC3D9}"/>
            </c:ext>
          </c:extLst>
        </c:ser>
        <c:ser>
          <c:idx val="4"/>
          <c:order val="2"/>
          <c:tx>
            <c:strRef>
              <c:f>Скважина_расчет!$AB$55</c:f>
              <c:strCache>
                <c:ptCount val="1"/>
                <c:pt idx="0">
                  <c:v>Вариант №3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Скважина_расчет!$AA$60:$AA$101</c:f>
              <c:numCache>
                <c:formatCode>General</c:formatCode>
                <c:ptCount val="42"/>
                <c:pt idx="0">
                  <c:v>1</c:v>
                </c:pt>
                <c:pt idx="1">
                  <c:v>9.0243902439024382</c:v>
                </c:pt>
                <c:pt idx="2">
                  <c:v>17.048780487804876</c:v>
                </c:pt>
                <c:pt idx="3">
                  <c:v>25.073170731707314</c:v>
                </c:pt>
                <c:pt idx="4">
                  <c:v>33.097560975609753</c:v>
                </c:pt>
                <c:pt idx="5">
                  <c:v>41.121951219512191</c:v>
                </c:pt>
                <c:pt idx="6">
                  <c:v>49.146341463414629</c:v>
                </c:pt>
                <c:pt idx="7">
                  <c:v>57.170731707317067</c:v>
                </c:pt>
                <c:pt idx="8">
                  <c:v>65.195121951219505</c:v>
                </c:pt>
                <c:pt idx="9">
                  <c:v>73.219512195121951</c:v>
                </c:pt>
                <c:pt idx="10">
                  <c:v>81.243902439024382</c:v>
                </c:pt>
                <c:pt idx="11">
                  <c:v>89.268292682926813</c:v>
                </c:pt>
                <c:pt idx="12">
                  <c:v>97.292682926829258</c:v>
                </c:pt>
                <c:pt idx="13">
                  <c:v>105.3170731707317</c:v>
                </c:pt>
                <c:pt idx="14">
                  <c:v>113.34146341463413</c:v>
                </c:pt>
                <c:pt idx="15">
                  <c:v>121.36585365853657</c:v>
                </c:pt>
                <c:pt idx="16">
                  <c:v>129.39024390243901</c:v>
                </c:pt>
                <c:pt idx="17">
                  <c:v>137.41463414634146</c:v>
                </c:pt>
                <c:pt idx="18">
                  <c:v>145.4390243902439</c:v>
                </c:pt>
                <c:pt idx="19">
                  <c:v>153.46341463414632</c:v>
                </c:pt>
                <c:pt idx="20">
                  <c:v>161.48780487804876</c:v>
                </c:pt>
                <c:pt idx="21">
                  <c:v>169.51219512195121</c:v>
                </c:pt>
                <c:pt idx="22">
                  <c:v>177.53658536585363</c:v>
                </c:pt>
                <c:pt idx="23">
                  <c:v>185.56097560975607</c:v>
                </c:pt>
                <c:pt idx="24">
                  <c:v>193.58536585365852</c:v>
                </c:pt>
                <c:pt idx="25">
                  <c:v>201.60975609756096</c:v>
                </c:pt>
                <c:pt idx="26">
                  <c:v>209.63414634146341</c:v>
                </c:pt>
                <c:pt idx="27">
                  <c:v>217.65853658536582</c:v>
                </c:pt>
                <c:pt idx="28">
                  <c:v>225.68292682926827</c:v>
                </c:pt>
                <c:pt idx="29">
                  <c:v>233.70731707317071</c:v>
                </c:pt>
                <c:pt idx="30">
                  <c:v>241.73170731707313</c:v>
                </c:pt>
                <c:pt idx="31">
                  <c:v>249.75609756097558</c:v>
                </c:pt>
                <c:pt idx="32">
                  <c:v>257.78048780487802</c:v>
                </c:pt>
                <c:pt idx="33">
                  <c:v>265.80487804878044</c:v>
                </c:pt>
                <c:pt idx="34">
                  <c:v>273.82926829268291</c:v>
                </c:pt>
                <c:pt idx="35">
                  <c:v>281.85365853658533</c:v>
                </c:pt>
                <c:pt idx="36">
                  <c:v>289.8780487804878</c:v>
                </c:pt>
                <c:pt idx="37">
                  <c:v>297.90243902439022</c:v>
                </c:pt>
                <c:pt idx="38">
                  <c:v>305.92682926829264</c:v>
                </c:pt>
                <c:pt idx="39">
                  <c:v>313.95121951219511</c:v>
                </c:pt>
                <c:pt idx="40">
                  <c:v>321.97560975609753</c:v>
                </c:pt>
                <c:pt idx="41">
                  <c:v>330</c:v>
                </c:pt>
              </c:numCache>
            </c:numRef>
          </c:xVal>
          <c:yVal>
            <c:numRef>
              <c:f>Скважина_расчет!$AF$60:$AF$101</c:f>
              <c:numCache>
                <c:formatCode>General</c:formatCode>
                <c:ptCount val="42"/>
                <c:pt idx="0">
                  <c:v>30.510971442197199</c:v>
                </c:pt>
                <c:pt idx="1">
                  <c:v>32.261747990176239</c:v>
                </c:pt>
                <c:pt idx="2">
                  <c:v>35.929313970327847</c:v>
                </c:pt>
                <c:pt idx="3">
                  <c:v>37.708383008564688</c:v>
                </c:pt>
                <c:pt idx="4">
                  <c:v>39.498718930545884</c:v>
                </c:pt>
                <c:pt idx="5">
                  <c:v>41.2992514783761</c:v>
                </c:pt>
                <c:pt idx="6">
                  <c:v>43.109985198889333</c:v>
                </c:pt>
                <c:pt idx="7">
                  <c:v>44.929755953992753</c:v>
                </c:pt>
                <c:pt idx="8">
                  <c:v>46.756184195257873</c:v>
                </c:pt>
                <c:pt idx="9">
                  <c:v>48.588600184808975</c:v>
                </c:pt>
                <c:pt idx="10">
                  <c:v>50.42638539039951</c:v>
                </c:pt>
                <c:pt idx="11">
                  <c:v>52.269455776440068</c:v>
                </c:pt>
                <c:pt idx="12">
                  <c:v>54.117356710357342</c:v>
                </c:pt>
                <c:pt idx="13">
                  <c:v>55.968729280585087</c:v>
                </c:pt>
                <c:pt idx="14">
                  <c:v>57.823211941784976</c:v>
                </c:pt>
                <c:pt idx="15">
                  <c:v>59.680471308550352</c:v>
                </c:pt>
                <c:pt idx="16">
                  <c:v>61.540409483265009</c:v>
                </c:pt>
                <c:pt idx="17">
                  <c:v>63.40287367208029</c:v>
                </c:pt>
                <c:pt idx="18">
                  <c:v>65.267121554321776</c:v>
                </c:pt>
                <c:pt idx="19">
                  <c:v>67.132980166596013</c:v>
                </c:pt>
                <c:pt idx="20">
                  <c:v>69.000296545123817</c:v>
                </c:pt>
                <c:pt idx="21">
                  <c:v>70.86903244597876</c:v>
                </c:pt>
                <c:pt idx="22">
                  <c:v>72.739233775806937</c:v>
                </c:pt>
                <c:pt idx="23">
                  <c:v>74.610532134395555</c:v>
                </c:pt>
                <c:pt idx="24">
                  <c:v>76.482898858916812</c:v>
                </c:pt>
                <c:pt idx="25">
                  <c:v>78.356321939278089</c:v>
                </c:pt>
                <c:pt idx="26">
                  <c:v>80.230873794168332</c:v>
                </c:pt>
                <c:pt idx="27">
                  <c:v>82.106845294386417</c:v>
                </c:pt>
                <c:pt idx="28">
                  <c:v>83.984026935544449</c:v>
                </c:pt>
                <c:pt idx="29">
                  <c:v>85.862485866495476</c:v>
                </c:pt>
                <c:pt idx="30">
                  <c:v>87.742288487110443</c:v>
                </c:pt>
                <c:pt idx="31">
                  <c:v>89.623560569883665</c:v>
                </c:pt>
                <c:pt idx="32">
                  <c:v>91.506768762217419</c:v>
                </c:pt>
                <c:pt idx="33">
                  <c:v>93.391567546623875</c:v>
                </c:pt>
                <c:pt idx="34">
                  <c:v>95.278014545885526</c:v>
                </c:pt>
                <c:pt idx="35">
                  <c:v>97.166166138626508</c:v>
                </c:pt>
                <c:pt idx="36">
                  <c:v>99.056114548262215</c:v>
                </c:pt>
                <c:pt idx="37">
                  <c:v>100.94846625349665</c:v>
                </c:pt>
                <c:pt idx="38">
                  <c:v>102.84273080977113</c:v>
                </c:pt>
                <c:pt idx="39">
                  <c:v>104.73895637641139</c:v>
                </c:pt>
                <c:pt idx="40">
                  <c:v>106.63718996417485</c:v>
                </c:pt>
                <c:pt idx="41">
                  <c:v>108.53747743676156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55-4725-BC97-3CCC9FEEC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97032"/>
        <c:axId val="491688832"/>
      </c:scatterChart>
      <c:valAx>
        <c:axId val="491697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Ступени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91688832"/>
        <c:crosses val="autoZero"/>
        <c:crossBetween val="midCat"/>
      </c:valAx>
      <c:valAx>
        <c:axId val="49168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91697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Гидравлические параметры</a:t>
            </a:r>
          </a:p>
        </c:rich>
      </c:tx>
      <c:layout>
        <c:manualLayout>
          <c:xMode val="edge"/>
          <c:yMode val="edge"/>
          <c:x val="0.303902668416447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Скважина_расчет!$N$47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Скважина_расчет!$M$48:$M$50</c:f>
              <c:strCache>
                <c:ptCount val="3"/>
                <c:pt idx="0">
                  <c:v>P пр., МПа</c:v>
                </c:pt>
                <c:pt idx="1">
                  <c:v>Р лин., МПа</c:v>
                </c:pt>
                <c:pt idx="2">
                  <c:v>P буф., МПа</c:v>
                </c:pt>
              </c:strCache>
            </c:strRef>
          </c:cat>
          <c:val>
            <c:numRef>
              <c:f>Скважина_расчет!$N$48:$N$50</c:f>
              <c:numCache>
                <c:formatCode>0.0</c:formatCode>
                <c:ptCount val="3"/>
                <c:pt idx="0">
                  <c:v>3.2</c:v>
                </c:pt>
                <c:pt idx="1">
                  <c:v>2.16</c:v>
                </c:pt>
                <c:pt idx="2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9F-4BD5-8499-C4A15F666859}"/>
            </c:ext>
          </c:extLst>
        </c:ser>
        <c:ser>
          <c:idx val="1"/>
          <c:order val="1"/>
          <c:tx>
            <c:strRef>
              <c:f>Скважина_расчет!$O$47</c:f>
              <c:strCache>
                <c:ptCount val="1"/>
                <c:pt idx="0">
                  <c:v>Расчет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Скважина_расчет!$M$48:$M$50</c:f>
              <c:strCache>
                <c:ptCount val="3"/>
                <c:pt idx="0">
                  <c:v>P пр., МПа</c:v>
                </c:pt>
                <c:pt idx="1">
                  <c:v>Р лин., МПа</c:v>
                </c:pt>
                <c:pt idx="2">
                  <c:v>P буф., МПа</c:v>
                </c:pt>
              </c:strCache>
            </c:strRef>
          </c:cat>
          <c:val>
            <c:numRef>
              <c:f>Скважина_расчет!$O$48:$O$50</c:f>
              <c:numCache>
                <c:formatCode>0.0</c:formatCode>
                <c:ptCount val="3"/>
                <c:pt idx="0">
                  <c:v>3.0307692304088034</c:v>
                </c:pt>
                <c:pt idx="1">
                  <c:v>2.20387809785259</c:v>
                </c:pt>
                <c:pt idx="2">
                  <c:v>2.8069293186580246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9F-4BD5-8499-C4A15F6668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7"/>
        <c:overlap val="-27"/>
        <c:axId val="526197528"/>
        <c:axId val="526192608"/>
      </c:barChart>
      <c:catAx>
        <c:axId val="52619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2608"/>
        <c:crosses val="autoZero"/>
        <c:auto val="1"/>
        <c:lblAlgn val="ctr"/>
        <c:lblOffset val="100"/>
        <c:noMultiLvlLbl val="0"/>
      </c:catAx>
      <c:valAx>
        <c:axId val="52619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Энергетические параметры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Скважина_расчет!$N$47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Скважина_расчет!$M$51:$M$53</c:f>
              <c:strCache>
                <c:ptCount val="3"/>
                <c:pt idx="0">
                  <c:v>I ПЭД, А</c:v>
                </c:pt>
                <c:pt idx="1">
                  <c:v>Загрузка ПЭД, %</c:v>
                </c:pt>
                <c:pt idx="2">
                  <c:v>N СУ, кВт</c:v>
                </c:pt>
              </c:strCache>
            </c:strRef>
          </c:cat>
          <c:val>
            <c:numRef>
              <c:f>Скважина_расчет!$N$51:$N$53</c:f>
              <c:numCache>
                <c:formatCode>0.00</c:formatCode>
                <c:ptCount val="3"/>
                <c:pt idx="0" formatCode="0.0">
                  <c:v>42.94</c:v>
                </c:pt>
                <c:pt idx="1">
                  <c:v>55.000000000000007</c:v>
                </c:pt>
                <c:pt idx="2" formatCode="0.0">
                  <c:v>82.09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7C-4552-A91C-48C636FCD428}"/>
            </c:ext>
          </c:extLst>
        </c:ser>
        <c:ser>
          <c:idx val="1"/>
          <c:order val="1"/>
          <c:tx>
            <c:strRef>
              <c:f>Скважина_расчет!$O$47</c:f>
              <c:strCache>
                <c:ptCount val="1"/>
                <c:pt idx="0">
                  <c:v>Расчет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Скважина_расчет!$M$51:$M$53</c:f>
              <c:strCache>
                <c:ptCount val="3"/>
                <c:pt idx="0">
                  <c:v>I ПЭД, А</c:v>
                </c:pt>
                <c:pt idx="1">
                  <c:v>Загрузка ПЭД, %</c:v>
                </c:pt>
                <c:pt idx="2">
                  <c:v>N СУ, кВт</c:v>
                </c:pt>
              </c:strCache>
            </c:strRef>
          </c:cat>
          <c:val>
            <c:numRef>
              <c:f>Скважина_расчет!$O$51:$O$53</c:f>
              <c:numCache>
                <c:formatCode>0.00</c:formatCode>
                <c:ptCount val="3"/>
                <c:pt idx="0" formatCode="0.0">
                  <c:v>42.793868183014389</c:v>
                </c:pt>
                <c:pt idx="1">
                  <c:v>53.492335228767985</c:v>
                </c:pt>
                <c:pt idx="2" formatCode="0.0">
                  <c:v>81.706988156212248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7C-4552-A91C-48C636FCD4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7"/>
        <c:overlap val="-27"/>
        <c:axId val="526197528"/>
        <c:axId val="526192608"/>
      </c:barChart>
      <c:catAx>
        <c:axId val="52619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2608"/>
        <c:crosses val="autoZero"/>
        <c:auto val="1"/>
        <c:lblAlgn val="ctr"/>
        <c:lblOffset val="100"/>
        <c:noMultiLvlLbl val="0"/>
      </c:catAx>
      <c:valAx>
        <c:axId val="52619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Относительные ошибки</a:t>
            </a:r>
          </a:p>
        </c:rich>
      </c:tx>
      <c:layout>
        <c:manualLayout>
          <c:xMode val="edge"/>
          <c:yMode val="edge"/>
          <c:x val="0.303902668416447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Скважина_расчет!$P$47</c:f>
              <c:strCache>
                <c:ptCount val="1"/>
                <c:pt idx="0">
                  <c:v>Отн. Ошибка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Скважина_расчет!$M$48:$M$53</c:f>
              <c:strCache>
                <c:ptCount val="6"/>
                <c:pt idx="0">
                  <c:v>P пр., МПа</c:v>
                </c:pt>
                <c:pt idx="1">
                  <c:v>Р лин., МПа</c:v>
                </c:pt>
                <c:pt idx="2">
                  <c:v>P буф., МПа</c:v>
                </c:pt>
                <c:pt idx="3">
                  <c:v>I ПЭД, А</c:v>
                </c:pt>
                <c:pt idx="4">
                  <c:v>Загрузка ПЭД, %</c:v>
                </c:pt>
                <c:pt idx="5">
                  <c:v>N СУ, кВт</c:v>
                </c:pt>
              </c:strCache>
            </c:strRef>
          </c:cat>
          <c:val>
            <c:numRef>
              <c:f>Скважина_расчет!$P$48:$P$53</c:f>
              <c:numCache>
                <c:formatCode>0.0%</c:formatCode>
                <c:ptCount val="6"/>
                <c:pt idx="0">
                  <c:v>5.2884615497248988E-2</c:v>
                </c:pt>
                <c:pt idx="1">
                  <c:v>2.0313934191013797E-2</c:v>
                </c:pt>
                <c:pt idx="2">
                  <c:v>3.9603451354823939E-2</c:v>
                </c:pt>
                <c:pt idx="3">
                  <c:v>3.4031629479647999E-3</c:v>
                </c:pt>
                <c:pt idx="4">
                  <c:v>2.741208674967309E-2</c:v>
                </c:pt>
                <c:pt idx="5">
                  <c:v>4.6657551929316097E-3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43-4493-A9D7-C04B6EF6CC5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7"/>
        <c:axId val="526197528"/>
        <c:axId val="526192608"/>
      </c:barChart>
      <c:catAx>
        <c:axId val="526197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2608"/>
        <c:crosses val="autoZero"/>
        <c:auto val="1"/>
        <c:lblAlgn val="ctr"/>
        <c:lblOffset val="100"/>
        <c:noMultiLvlLbl val="0"/>
      </c:catAx>
      <c:valAx>
        <c:axId val="52619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Гидравлические параметры</a:t>
            </a:r>
          </a:p>
        </c:rich>
      </c:tx>
      <c:layout>
        <c:manualLayout>
          <c:xMode val="edge"/>
          <c:yMode val="edge"/>
          <c:x val="0.303902668416447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Скважина_расчет!$N$47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Скважина_расчет!$M$67:$M$69</c:f>
              <c:strCache>
                <c:ptCount val="3"/>
                <c:pt idx="0">
                  <c:v>P пр., МПа</c:v>
                </c:pt>
                <c:pt idx="1">
                  <c:v>Р лин., МПа</c:v>
                </c:pt>
                <c:pt idx="2">
                  <c:v>P буф., МПа</c:v>
                </c:pt>
              </c:strCache>
            </c:strRef>
          </c:cat>
          <c:val>
            <c:numRef>
              <c:f>Скважина_расчет!$N$67:$N$69</c:f>
              <c:numCache>
                <c:formatCode>0.0</c:formatCode>
                <c:ptCount val="3"/>
                <c:pt idx="0">
                  <c:v>3.2</c:v>
                </c:pt>
                <c:pt idx="1">
                  <c:v>2.16</c:v>
                </c:pt>
                <c:pt idx="2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3C-4324-B40D-12CF5CA55026}"/>
            </c:ext>
          </c:extLst>
        </c:ser>
        <c:ser>
          <c:idx val="1"/>
          <c:order val="1"/>
          <c:tx>
            <c:strRef>
              <c:f>Скважина_расчет!$O$47</c:f>
              <c:strCache>
                <c:ptCount val="1"/>
                <c:pt idx="0">
                  <c:v>Расчет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Скважина_расчет!$M$67:$M$69</c:f>
              <c:strCache>
                <c:ptCount val="3"/>
                <c:pt idx="0">
                  <c:v>P пр., МПа</c:v>
                </c:pt>
                <c:pt idx="1">
                  <c:v>Р лин., МПа</c:v>
                </c:pt>
                <c:pt idx="2">
                  <c:v>P буф., МПа</c:v>
                </c:pt>
              </c:strCache>
            </c:strRef>
          </c:cat>
          <c:val>
            <c:numRef>
              <c:f>Скважина_расчет!$O$67:$O$69</c:f>
              <c:numCache>
                <c:formatCode>0.0</c:formatCode>
                <c:ptCount val="3"/>
                <c:pt idx="0">
                  <c:v>3.0307692304088034</c:v>
                </c:pt>
                <c:pt idx="1">
                  <c:v>3.6276158571773847</c:v>
                </c:pt>
                <c:pt idx="2">
                  <c:v>4.1551215187356174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3C-4324-B40D-12CF5CA550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7"/>
        <c:overlap val="-27"/>
        <c:axId val="526197528"/>
        <c:axId val="526192608"/>
      </c:barChart>
      <c:catAx>
        <c:axId val="52619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2608"/>
        <c:crosses val="autoZero"/>
        <c:auto val="1"/>
        <c:lblAlgn val="ctr"/>
        <c:lblOffset val="100"/>
        <c:noMultiLvlLbl val="0"/>
      </c:catAx>
      <c:valAx>
        <c:axId val="52619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Гидравлические параметры</a:t>
            </a:r>
          </a:p>
        </c:rich>
      </c:tx>
      <c:layout>
        <c:manualLayout>
          <c:xMode val="edge"/>
          <c:yMode val="edge"/>
          <c:x val="0.303902668416447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Скважина_расчет!$N$47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Скважина_расчет!$M$86:$M$88</c:f>
              <c:strCache>
                <c:ptCount val="3"/>
                <c:pt idx="0">
                  <c:v>P пр., МПа</c:v>
                </c:pt>
                <c:pt idx="1">
                  <c:v>Р лин., МПа</c:v>
                </c:pt>
                <c:pt idx="2">
                  <c:v>P буф., МПа</c:v>
                </c:pt>
              </c:strCache>
            </c:strRef>
          </c:cat>
          <c:val>
            <c:numRef>
              <c:f>Скважина_расчет!$N$86:$N$88</c:f>
              <c:numCache>
                <c:formatCode>0.0</c:formatCode>
                <c:ptCount val="3"/>
                <c:pt idx="0">
                  <c:v>3.2</c:v>
                </c:pt>
                <c:pt idx="1">
                  <c:v>2.16</c:v>
                </c:pt>
                <c:pt idx="2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6-47CB-AA44-9B15A60C902C}"/>
            </c:ext>
          </c:extLst>
        </c:ser>
        <c:ser>
          <c:idx val="1"/>
          <c:order val="1"/>
          <c:tx>
            <c:strRef>
              <c:f>Скважина_расчет!$O$47</c:f>
              <c:strCache>
                <c:ptCount val="1"/>
                <c:pt idx="0">
                  <c:v>Расчет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Скважина_расчет!$M$86:$M$88</c:f>
              <c:strCache>
                <c:ptCount val="3"/>
                <c:pt idx="0">
                  <c:v>P пр., МПа</c:v>
                </c:pt>
                <c:pt idx="1">
                  <c:v>Р лин., МПа</c:v>
                </c:pt>
                <c:pt idx="2">
                  <c:v>P буф., МПа</c:v>
                </c:pt>
              </c:strCache>
            </c:strRef>
          </c:cat>
          <c:val>
            <c:numRef>
              <c:f>Скважина_расчет!$O$86:$O$88</c:f>
              <c:numCache>
                <c:formatCode>0.0</c:formatCode>
                <c:ptCount val="3"/>
                <c:pt idx="0">
                  <c:v>3.0307692304088034</c:v>
                </c:pt>
                <c:pt idx="1">
                  <c:v>4.799640557931621</c:v>
                </c:pt>
                <c:pt idx="2">
                  <c:v>5.3248449960151465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6-47CB-AA44-9B15A60C902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7"/>
        <c:overlap val="-27"/>
        <c:axId val="526197528"/>
        <c:axId val="526192608"/>
      </c:barChart>
      <c:catAx>
        <c:axId val="52619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2608"/>
        <c:crosses val="autoZero"/>
        <c:auto val="1"/>
        <c:lblAlgn val="ctr"/>
        <c:lblOffset val="100"/>
        <c:noMultiLvlLbl val="0"/>
      </c:catAx>
      <c:valAx>
        <c:axId val="52619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Энергетические параметры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Скважина_расчет!$N$47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Скважина_расчет!$M$70:$M$72</c:f>
              <c:strCache>
                <c:ptCount val="3"/>
                <c:pt idx="0">
                  <c:v>I ПЭД, А</c:v>
                </c:pt>
                <c:pt idx="1">
                  <c:v>Загрузка ПЭД, %</c:v>
                </c:pt>
                <c:pt idx="2">
                  <c:v>N СУ, кВт</c:v>
                </c:pt>
              </c:strCache>
            </c:strRef>
          </c:cat>
          <c:val>
            <c:numRef>
              <c:f>Скважина_расчет!$N$70:$N$72</c:f>
              <c:numCache>
                <c:formatCode>0.00</c:formatCode>
                <c:ptCount val="3"/>
                <c:pt idx="0" formatCode="0.0">
                  <c:v>42.94</c:v>
                </c:pt>
                <c:pt idx="1">
                  <c:v>55.000000000000007</c:v>
                </c:pt>
                <c:pt idx="2" formatCode="0.0">
                  <c:v>82.09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B-49D7-8932-98F480D11F25}"/>
            </c:ext>
          </c:extLst>
        </c:ser>
        <c:ser>
          <c:idx val="1"/>
          <c:order val="1"/>
          <c:tx>
            <c:strRef>
              <c:f>Скважина_расчет!$O$47</c:f>
              <c:strCache>
                <c:ptCount val="1"/>
                <c:pt idx="0">
                  <c:v>Расчет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Скважина_расчет!$M$70:$M$72</c:f>
              <c:strCache>
                <c:ptCount val="3"/>
                <c:pt idx="0">
                  <c:v>I ПЭД, А</c:v>
                </c:pt>
                <c:pt idx="1">
                  <c:v>Загрузка ПЭД, %</c:v>
                </c:pt>
                <c:pt idx="2">
                  <c:v>N СУ, кВт</c:v>
                </c:pt>
              </c:strCache>
            </c:strRef>
          </c:cat>
          <c:val>
            <c:numRef>
              <c:f>Скважина_расчет!$O$70:$O$72</c:f>
              <c:numCache>
                <c:formatCode>0.00</c:formatCode>
                <c:ptCount val="3"/>
                <c:pt idx="0" formatCode="0.0">
                  <c:v>44.517707801252207</c:v>
                </c:pt>
                <c:pt idx="1">
                  <c:v>55.647134751565254</c:v>
                </c:pt>
                <c:pt idx="2" formatCode="0.0">
                  <c:v>94.613228634350747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B-49D7-8932-98F480D11F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7"/>
        <c:overlap val="-27"/>
        <c:axId val="526197528"/>
        <c:axId val="526192608"/>
      </c:barChart>
      <c:catAx>
        <c:axId val="52619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2608"/>
        <c:crosses val="autoZero"/>
        <c:auto val="1"/>
        <c:lblAlgn val="ctr"/>
        <c:lblOffset val="100"/>
        <c:noMultiLvlLbl val="0"/>
      </c:catAx>
      <c:valAx>
        <c:axId val="52619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Энергетические параметры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Скважина_расчет!$N$47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Скважина_расчет!$M$89:$M$91</c:f>
              <c:strCache>
                <c:ptCount val="3"/>
                <c:pt idx="0">
                  <c:v>I ПЭД, А</c:v>
                </c:pt>
                <c:pt idx="1">
                  <c:v>Загрузка ПЭД, %</c:v>
                </c:pt>
                <c:pt idx="2">
                  <c:v>N СУ, кВт</c:v>
                </c:pt>
              </c:strCache>
            </c:strRef>
          </c:cat>
          <c:val>
            <c:numRef>
              <c:f>Скважина_расчет!$N$89:$N$91</c:f>
              <c:numCache>
                <c:formatCode>0.00</c:formatCode>
                <c:ptCount val="3"/>
                <c:pt idx="0" formatCode="0.0">
                  <c:v>42.94</c:v>
                </c:pt>
                <c:pt idx="1">
                  <c:v>55.000000000000007</c:v>
                </c:pt>
                <c:pt idx="2" formatCode="0.0">
                  <c:v>82.09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30-40BA-83CE-368FC7E92652}"/>
            </c:ext>
          </c:extLst>
        </c:ser>
        <c:ser>
          <c:idx val="1"/>
          <c:order val="1"/>
          <c:tx>
            <c:strRef>
              <c:f>Скважина_расчет!$O$47</c:f>
              <c:strCache>
                <c:ptCount val="1"/>
                <c:pt idx="0">
                  <c:v>Расчет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Скважина_расчет!$M$89:$M$91</c:f>
              <c:strCache>
                <c:ptCount val="3"/>
                <c:pt idx="0">
                  <c:v>I ПЭД, А</c:v>
                </c:pt>
                <c:pt idx="1">
                  <c:v>Загрузка ПЭД, %</c:v>
                </c:pt>
                <c:pt idx="2">
                  <c:v>N СУ, кВт</c:v>
                </c:pt>
              </c:strCache>
            </c:strRef>
          </c:cat>
          <c:val>
            <c:numRef>
              <c:f>Скважина_расчет!$O$89:$O$91</c:f>
              <c:numCache>
                <c:formatCode>0.00</c:formatCode>
                <c:ptCount val="3"/>
                <c:pt idx="0" formatCode="0.0">
                  <c:v>30.424904230102072</c:v>
                </c:pt>
                <c:pt idx="1">
                  <c:v>38.03113028762759</c:v>
                </c:pt>
                <c:pt idx="2" formatCode="0.0">
                  <c:v>63.708541450322144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30-40BA-83CE-368FC7E9265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7"/>
        <c:overlap val="-27"/>
        <c:axId val="526197528"/>
        <c:axId val="526192608"/>
      </c:barChart>
      <c:catAx>
        <c:axId val="52619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2608"/>
        <c:crosses val="autoZero"/>
        <c:auto val="1"/>
        <c:lblAlgn val="ctr"/>
        <c:lblOffset val="100"/>
        <c:noMultiLvlLbl val="0"/>
      </c:catAx>
      <c:valAx>
        <c:axId val="52619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Относительные ошибки</a:t>
            </a:r>
          </a:p>
        </c:rich>
      </c:tx>
      <c:layout>
        <c:manualLayout>
          <c:xMode val="edge"/>
          <c:yMode val="edge"/>
          <c:x val="0.303902668416447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Скважина_расчет!$P$47</c:f>
              <c:strCache>
                <c:ptCount val="1"/>
                <c:pt idx="0">
                  <c:v>Отн. Ошибка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Скважина_расчет!$M$67:$M$72</c:f>
              <c:strCache>
                <c:ptCount val="6"/>
                <c:pt idx="0">
                  <c:v>P пр., МПа</c:v>
                </c:pt>
                <c:pt idx="1">
                  <c:v>Р лин., МПа</c:v>
                </c:pt>
                <c:pt idx="2">
                  <c:v>P буф., МПа</c:v>
                </c:pt>
                <c:pt idx="3">
                  <c:v>I ПЭД, А</c:v>
                </c:pt>
                <c:pt idx="4">
                  <c:v>Загрузка ПЭД, %</c:v>
                </c:pt>
                <c:pt idx="5">
                  <c:v>N СУ, кВт</c:v>
                </c:pt>
              </c:strCache>
            </c:strRef>
          </c:cat>
          <c:val>
            <c:numRef>
              <c:f>Скважина_расчет!$P$67:$P$72</c:f>
              <c:numCache>
                <c:formatCode>0.0%</c:formatCode>
                <c:ptCount val="6"/>
                <c:pt idx="0">
                  <c:v>5.2884615497248988E-2</c:v>
                </c:pt>
                <c:pt idx="1">
                  <c:v>0.67945178573027065</c:v>
                </c:pt>
                <c:pt idx="2">
                  <c:v>0.53893389582800655</c:v>
                </c:pt>
                <c:pt idx="3">
                  <c:v>3.674214721127643E-2</c:v>
                </c:pt>
                <c:pt idx="4">
                  <c:v>1.1766086392095419E-2</c:v>
                </c:pt>
                <c:pt idx="5">
                  <c:v>0.15255486215557001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21-4FE0-93B4-94BB5BC43D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7"/>
        <c:axId val="526197528"/>
        <c:axId val="526192608"/>
      </c:barChart>
      <c:catAx>
        <c:axId val="526197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2608"/>
        <c:crosses val="autoZero"/>
        <c:auto val="1"/>
        <c:lblAlgn val="ctr"/>
        <c:lblOffset val="100"/>
        <c:noMultiLvlLbl val="0"/>
      </c:catAx>
      <c:valAx>
        <c:axId val="52619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Относительные ошибки</a:t>
            </a:r>
          </a:p>
        </c:rich>
      </c:tx>
      <c:layout>
        <c:manualLayout>
          <c:xMode val="edge"/>
          <c:yMode val="edge"/>
          <c:x val="0.303902668416447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Скважина_расчет!$P$47</c:f>
              <c:strCache>
                <c:ptCount val="1"/>
                <c:pt idx="0">
                  <c:v>Отн. Ошибка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Скважина_расчет!$M$86:$M$91</c:f>
              <c:strCache>
                <c:ptCount val="6"/>
                <c:pt idx="0">
                  <c:v>P пр., МПа</c:v>
                </c:pt>
                <c:pt idx="1">
                  <c:v>Р лин., МПа</c:v>
                </c:pt>
                <c:pt idx="2">
                  <c:v>P буф., МПа</c:v>
                </c:pt>
                <c:pt idx="3">
                  <c:v>I ПЭД, А</c:v>
                </c:pt>
                <c:pt idx="4">
                  <c:v>Загрузка ПЭД, %</c:v>
                </c:pt>
                <c:pt idx="5">
                  <c:v>N СУ, кВт</c:v>
                </c:pt>
              </c:strCache>
            </c:strRef>
          </c:cat>
          <c:val>
            <c:numRef>
              <c:f>Скважина_расчет!$P$86:$P$91</c:f>
              <c:numCache>
                <c:formatCode>0.0%</c:formatCode>
                <c:ptCount val="6"/>
                <c:pt idx="0">
                  <c:v>5.2884615497248988E-2</c:v>
                </c:pt>
                <c:pt idx="1">
                  <c:v>1.2220558138572317</c:v>
                </c:pt>
                <c:pt idx="2">
                  <c:v>0.97216481333894322</c:v>
                </c:pt>
                <c:pt idx="3">
                  <c:v>0.29145542081737136</c:v>
                </c:pt>
                <c:pt idx="4">
                  <c:v>0.30852490386131659</c:v>
                </c:pt>
                <c:pt idx="5">
                  <c:v>0.22391836459590519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27-4ADD-A3FE-7E5A3D55A2A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7"/>
        <c:axId val="526197528"/>
        <c:axId val="526192608"/>
      </c:barChart>
      <c:catAx>
        <c:axId val="526197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2608"/>
        <c:crosses val="autoZero"/>
        <c:auto val="1"/>
        <c:lblAlgn val="ctr"/>
        <c:lblOffset val="100"/>
        <c:noMultiLvlLbl val="0"/>
      </c:catAx>
      <c:valAx>
        <c:axId val="52619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619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AK$4" fmlaRange="$AL$4:$AL$5" noThreeD="1" sel="1" val="0"/>
</file>

<file path=xl/ctrlProps/ctrlProp11.xml><?xml version="1.0" encoding="utf-8"?>
<formControlPr xmlns="http://schemas.microsoft.com/office/spreadsheetml/2009/9/main" objectType="Drop" dropLines="6" dropStyle="combo" dx="22" fmlaLink="$AO$4" fmlaRange="$AP$4:$AP$9" noThreeD="1" sel="1" val="0"/>
</file>

<file path=xl/ctrlProps/ctrlProp12.xml><?xml version="1.0" encoding="utf-8"?>
<formControlPr xmlns="http://schemas.microsoft.com/office/spreadsheetml/2009/9/main" objectType="Drop" dropLines="3" dropStyle="combo" dx="22" fmlaLink="$AG$4" fmlaRange="$AH$4:$AH$6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hart" Target="../charts/chart28.xml"/><Relationship Id="rId18" Type="http://schemas.openxmlformats.org/officeDocument/2006/relationships/chart" Target="../charts/chart32.xml"/><Relationship Id="rId26" Type="http://schemas.openxmlformats.org/officeDocument/2006/relationships/chart" Target="../charts/chart40.xml"/><Relationship Id="rId3" Type="http://schemas.openxmlformats.org/officeDocument/2006/relationships/chart" Target="../charts/chart21.xml"/><Relationship Id="rId21" Type="http://schemas.openxmlformats.org/officeDocument/2006/relationships/chart" Target="../charts/chart35.xml"/><Relationship Id="rId7" Type="http://schemas.openxmlformats.org/officeDocument/2006/relationships/chart" Target="../charts/chart25.xml"/><Relationship Id="rId12" Type="http://schemas.openxmlformats.org/officeDocument/2006/relationships/chart" Target="../charts/chart27.xml"/><Relationship Id="rId17" Type="http://schemas.openxmlformats.org/officeDocument/2006/relationships/chart" Target="../charts/chart31.xml"/><Relationship Id="rId25" Type="http://schemas.openxmlformats.org/officeDocument/2006/relationships/chart" Target="../charts/chart39.xml"/><Relationship Id="rId2" Type="http://schemas.openxmlformats.org/officeDocument/2006/relationships/chart" Target="../charts/chart20.xml"/><Relationship Id="rId16" Type="http://schemas.openxmlformats.org/officeDocument/2006/relationships/image" Target="../media/image4.png"/><Relationship Id="rId20" Type="http://schemas.openxmlformats.org/officeDocument/2006/relationships/chart" Target="../charts/chart34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6.xml"/><Relationship Id="rId24" Type="http://schemas.openxmlformats.org/officeDocument/2006/relationships/chart" Target="../charts/chart38.xml"/><Relationship Id="rId5" Type="http://schemas.openxmlformats.org/officeDocument/2006/relationships/chart" Target="../charts/chart23.xml"/><Relationship Id="rId15" Type="http://schemas.openxmlformats.org/officeDocument/2006/relationships/chart" Target="../charts/chart30.xml"/><Relationship Id="rId23" Type="http://schemas.openxmlformats.org/officeDocument/2006/relationships/chart" Target="../charts/chart37.xml"/><Relationship Id="rId28" Type="http://schemas.openxmlformats.org/officeDocument/2006/relationships/chart" Target="../charts/chart42.xml"/><Relationship Id="rId10" Type="http://schemas.openxmlformats.org/officeDocument/2006/relationships/image" Target="../media/image3.emf"/><Relationship Id="rId19" Type="http://schemas.openxmlformats.org/officeDocument/2006/relationships/chart" Target="../charts/chart33.xml"/><Relationship Id="rId4" Type="http://schemas.openxmlformats.org/officeDocument/2006/relationships/chart" Target="../charts/chart22.xml"/><Relationship Id="rId9" Type="http://schemas.openxmlformats.org/officeDocument/2006/relationships/image" Target="../media/image2.emf"/><Relationship Id="rId14" Type="http://schemas.openxmlformats.org/officeDocument/2006/relationships/chart" Target="../charts/chart29.xml"/><Relationship Id="rId22" Type="http://schemas.openxmlformats.org/officeDocument/2006/relationships/chart" Target="../charts/chart36.xml"/><Relationship Id="rId27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106413</xdr:colOff>
      <xdr:row>58</xdr:row>
      <xdr:rowOff>41271</xdr:rowOff>
    </xdr:from>
    <xdr:to>
      <xdr:col>11</xdr:col>
      <xdr:colOff>571500</xdr:colOff>
      <xdr:row>78</xdr:row>
      <xdr:rowOff>95250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564638</xdr:colOff>
      <xdr:row>58</xdr:row>
      <xdr:rowOff>11486</xdr:rowOff>
    </xdr:from>
    <xdr:to>
      <xdr:col>20</xdr:col>
      <xdr:colOff>285750</xdr:colOff>
      <xdr:row>78</xdr:row>
      <xdr:rowOff>85725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119343</xdr:colOff>
      <xdr:row>78</xdr:row>
      <xdr:rowOff>78161</xdr:rowOff>
    </xdr:from>
    <xdr:to>
      <xdr:col>11</xdr:col>
      <xdr:colOff>523875</xdr:colOff>
      <xdr:row>98</xdr:row>
      <xdr:rowOff>38100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531299</xdr:colOff>
      <xdr:row>78</xdr:row>
      <xdr:rowOff>90067</xdr:rowOff>
    </xdr:from>
    <xdr:to>
      <xdr:col>20</xdr:col>
      <xdr:colOff>295275</xdr:colOff>
      <xdr:row>98</xdr:row>
      <xdr:rowOff>47625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282388</xdr:colOff>
      <xdr:row>58</xdr:row>
      <xdr:rowOff>59952</xdr:rowOff>
    </xdr:from>
    <xdr:to>
      <xdr:col>29</xdr:col>
      <xdr:colOff>342900</xdr:colOff>
      <xdr:row>78</xdr:row>
      <xdr:rowOff>104775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A1E0826-840B-43EC-8F4A-D7C8E7801193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9.7%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271150</xdr:colOff>
      <xdr:row>38</xdr:row>
      <xdr:rowOff>91209</xdr:rowOff>
    </xdr:from>
    <xdr:to>
      <xdr:col>23</xdr:col>
      <xdr:colOff>365263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147116</xdr:colOff>
      <xdr:row>38</xdr:row>
      <xdr:rowOff>93007</xdr:rowOff>
    </xdr:from>
    <xdr:to>
      <xdr:col>11</xdr:col>
      <xdr:colOff>438150</xdr:colOff>
      <xdr:row>66</xdr:row>
      <xdr:rowOff>161925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19390</xdr:colOff>
      <xdr:row>11</xdr:row>
      <xdr:rowOff>150358</xdr:rowOff>
    </xdr:from>
    <xdr:to>
      <xdr:col>18</xdr:col>
      <xdr:colOff>394609</xdr:colOff>
      <xdr:row>32</xdr:row>
      <xdr:rowOff>68035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488897</xdr:colOff>
      <xdr:row>12</xdr:row>
      <xdr:rowOff>97508</xdr:rowOff>
    </xdr:from>
    <xdr:to>
      <xdr:col>28</xdr:col>
      <xdr:colOff>231322</xdr:colOff>
      <xdr:row>33</xdr:row>
      <xdr:rowOff>27213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309561</xdr:colOff>
      <xdr:row>45</xdr:row>
      <xdr:rowOff>121229</xdr:rowOff>
    </xdr:from>
    <xdr:to>
      <xdr:col>38</xdr:col>
      <xdr:colOff>309561</xdr:colOff>
      <xdr:row>60</xdr:row>
      <xdr:rowOff>88573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261937</xdr:colOff>
      <xdr:row>45</xdr:row>
      <xdr:rowOff>142875</xdr:rowOff>
    </xdr:from>
    <xdr:to>
      <xdr:col>31</xdr:col>
      <xdr:colOff>107155</xdr:colOff>
      <xdr:row>59</xdr:row>
      <xdr:rowOff>178593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559592</xdr:colOff>
      <xdr:row>46</xdr:row>
      <xdr:rowOff>11905</xdr:rowOff>
    </xdr:from>
    <xdr:to>
      <xdr:col>23</xdr:col>
      <xdr:colOff>83342</xdr:colOff>
      <xdr:row>60</xdr:row>
      <xdr:rowOff>11905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385910</xdr:colOff>
      <xdr:row>60</xdr:row>
      <xdr:rowOff>50410</xdr:rowOff>
    </xdr:from>
    <xdr:to>
      <xdr:col>30</xdr:col>
      <xdr:colOff>490656</xdr:colOff>
      <xdr:row>74</xdr:row>
      <xdr:rowOff>33400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118099</xdr:colOff>
      <xdr:row>59</xdr:row>
      <xdr:rowOff>188171</xdr:rowOff>
    </xdr:from>
    <xdr:to>
      <xdr:col>23</xdr:col>
      <xdr:colOff>231068</xdr:colOff>
      <xdr:row>73</xdr:row>
      <xdr:rowOff>171161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179292</xdr:colOff>
      <xdr:row>60</xdr:row>
      <xdr:rowOff>71237</xdr:rowOff>
    </xdr:from>
    <xdr:to>
      <xdr:col>38</xdr:col>
      <xdr:colOff>408213</xdr:colOff>
      <xdr:row>75</xdr:row>
      <xdr:rowOff>13607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299358</xdr:colOff>
      <xdr:row>46</xdr:row>
      <xdr:rowOff>27214</xdr:rowOff>
    </xdr:from>
    <xdr:to>
      <xdr:col>15</xdr:col>
      <xdr:colOff>476250</xdr:colOff>
      <xdr:row>60</xdr:row>
      <xdr:rowOff>27214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332407</xdr:colOff>
      <xdr:row>34</xdr:row>
      <xdr:rowOff>184388</xdr:rowOff>
    </xdr:from>
    <xdr:to>
      <xdr:col>8</xdr:col>
      <xdr:colOff>48898</xdr:colOff>
      <xdr:row>61</xdr:row>
      <xdr:rowOff>128358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299357</xdr:colOff>
      <xdr:row>15</xdr:row>
      <xdr:rowOff>58515</xdr:rowOff>
    </xdr:from>
    <xdr:to>
      <xdr:col>33</xdr:col>
      <xdr:colOff>224117</xdr:colOff>
      <xdr:row>50</xdr:row>
      <xdr:rowOff>56029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231606</xdr:colOff>
      <xdr:row>15</xdr:row>
      <xdr:rowOff>58198</xdr:rowOff>
    </xdr:from>
    <xdr:to>
      <xdr:col>41</xdr:col>
      <xdr:colOff>481852</xdr:colOff>
      <xdr:row>50</xdr:row>
      <xdr:rowOff>67235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20</xdr:row>
          <xdr:rowOff>76200</xdr:rowOff>
        </xdr:from>
        <xdr:to>
          <xdr:col>24</xdr:col>
          <xdr:colOff>152400</xdr:colOff>
          <xdr:row>24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371475</xdr:colOff>
          <xdr:row>25</xdr:row>
          <xdr:rowOff>123825</xdr:rowOff>
        </xdr:from>
        <xdr:to>
          <xdr:col>24</xdr:col>
          <xdr:colOff>133350</xdr:colOff>
          <xdr:row>29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262777</xdr:colOff>
      <xdr:row>26</xdr:row>
      <xdr:rowOff>27454</xdr:rowOff>
    </xdr:from>
    <xdr:to>
      <xdr:col>19</xdr:col>
      <xdr:colOff>251011</xdr:colOff>
      <xdr:row>30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580718" y="5249395"/>
          <a:ext cx="593352" cy="74407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272301</xdr:colOff>
      <xdr:row>20</xdr:row>
      <xdr:rowOff>110378</xdr:rowOff>
    </xdr:from>
    <xdr:to>
      <xdr:col>19</xdr:col>
      <xdr:colOff>260535</xdr:colOff>
      <xdr:row>24</xdr:row>
      <xdr:rowOff>20731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1590242" y="4189319"/>
          <a:ext cx="593352" cy="67235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38100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28575</xdr:rowOff>
        </xdr:from>
        <xdr:to>
          <xdr:col>9</xdr:col>
          <xdr:colOff>9525</xdr:colOff>
          <xdr:row>3</xdr:row>
          <xdr:rowOff>238125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12</xdr:col>
          <xdr:colOff>1219200</xdr:colOff>
          <xdr:row>3</xdr:row>
          <xdr:rowOff>209550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91684</xdr:colOff>
      <xdr:row>36</xdr:row>
      <xdr:rowOff>168160</xdr:rowOff>
    </xdr:from>
    <xdr:to>
      <xdr:col>9</xdr:col>
      <xdr:colOff>422767</xdr:colOff>
      <xdr:row>65</xdr:row>
      <xdr:rowOff>65197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39</xdr:col>
      <xdr:colOff>221382</xdr:colOff>
      <xdr:row>67</xdr:row>
      <xdr:rowOff>15883</xdr:rowOff>
    </xdr:from>
    <xdr:to>
      <xdr:col>55</xdr:col>
      <xdr:colOff>582441</xdr:colOff>
      <xdr:row>98</xdr:row>
      <xdr:rowOff>125804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589071</xdr:colOff>
      <xdr:row>62</xdr:row>
      <xdr:rowOff>33110</xdr:rowOff>
    </xdr:from>
    <xdr:to>
      <xdr:col>53</xdr:col>
      <xdr:colOff>281049</xdr:colOff>
      <xdr:row>93</xdr:row>
      <xdr:rowOff>119496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39</xdr:col>
      <xdr:colOff>339562</xdr:colOff>
      <xdr:row>82</xdr:row>
      <xdr:rowOff>138111</xdr:rowOff>
    </xdr:from>
    <xdr:to>
      <xdr:col>58</xdr:col>
      <xdr:colOff>66675</xdr:colOff>
      <xdr:row>113</xdr:row>
      <xdr:rowOff>183881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43</xdr:col>
      <xdr:colOff>20011</xdr:colOff>
      <xdr:row>0</xdr:row>
      <xdr:rowOff>76040</xdr:rowOff>
    </xdr:from>
    <xdr:to>
      <xdr:col>52</xdr:col>
      <xdr:colOff>352185</xdr:colOff>
      <xdr:row>9</xdr:row>
      <xdr:rowOff>22192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/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60082" y="76040"/>
          <a:ext cx="5843067" cy="20482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42</xdr:col>
      <xdr:colOff>579505</xdr:colOff>
      <xdr:row>9</xdr:row>
      <xdr:rowOff>64836</xdr:rowOff>
    </xdr:from>
    <xdr:to>
      <xdr:col>52</xdr:col>
      <xdr:colOff>468755</xdr:colOff>
      <xdr:row>19</xdr:row>
      <xdr:rowOff>100266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/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07255" y="2105907"/>
          <a:ext cx="6012463" cy="211201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42</xdr:col>
      <xdr:colOff>585908</xdr:colOff>
      <xdr:row>18</xdr:row>
      <xdr:rowOff>14407</xdr:rowOff>
    </xdr:from>
    <xdr:to>
      <xdr:col>52</xdr:col>
      <xdr:colOff>475158</xdr:colOff>
      <xdr:row>29</xdr:row>
      <xdr:rowOff>30917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13658" y="4205407"/>
          <a:ext cx="6012463" cy="21120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41</xdr:col>
      <xdr:colOff>266700</xdr:colOff>
      <xdr:row>75</xdr:row>
      <xdr:rowOff>114300</xdr:rowOff>
    </xdr:from>
    <xdr:to>
      <xdr:col>57</xdr:col>
      <xdr:colOff>4327</xdr:colOff>
      <xdr:row>103</xdr:row>
      <xdr:rowOff>25542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56</xdr:col>
      <xdr:colOff>261938</xdr:colOff>
      <xdr:row>50</xdr:row>
      <xdr:rowOff>194830</xdr:rowOff>
    </xdr:from>
    <xdr:to>
      <xdr:col>77</xdr:col>
      <xdr:colOff>178379</xdr:colOff>
      <xdr:row>96</xdr:row>
      <xdr:rowOff>51956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99</xdr:col>
      <xdr:colOff>152400</xdr:colOff>
      <xdr:row>60</xdr:row>
      <xdr:rowOff>123825</xdr:rowOff>
    </xdr:from>
    <xdr:to>
      <xdr:col>120</xdr:col>
      <xdr:colOff>68841</xdr:colOff>
      <xdr:row>106</xdr:row>
      <xdr:rowOff>52388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78</xdr:col>
      <xdr:colOff>9525</xdr:colOff>
      <xdr:row>61</xdr:row>
      <xdr:rowOff>100012</xdr:rowOff>
    </xdr:from>
    <xdr:to>
      <xdr:col>98</xdr:col>
      <xdr:colOff>535566</xdr:colOff>
      <xdr:row>107</xdr:row>
      <xdr:rowOff>28575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77</xdr:col>
      <xdr:colOff>135081</xdr:colOff>
      <xdr:row>13</xdr:row>
      <xdr:rowOff>19050</xdr:rowOff>
    </xdr:from>
    <xdr:to>
      <xdr:col>98</xdr:col>
      <xdr:colOff>51522</xdr:colOff>
      <xdr:row>58</xdr:row>
      <xdr:rowOff>61913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564369</xdr:colOff>
      <xdr:row>39</xdr:row>
      <xdr:rowOff>184388</xdr:rowOff>
    </xdr:from>
    <xdr:to>
      <xdr:col>9</xdr:col>
      <xdr:colOff>93483</xdr:colOff>
      <xdr:row>61</xdr:row>
      <xdr:rowOff>152148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170505" y="8150752"/>
          <a:ext cx="4378205" cy="4342857"/>
        </a:xfrm>
        <a:prstGeom prst="rect">
          <a:avLst/>
        </a:prstGeom>
      </xdr:spPr>
    </xdr:pic>
    <xdr:clientData/>
  </xdr:twoCellAnchor>
  <xdr:twoCellAnchor>
    <xdr:from>
      <xdr:col>31</xdr:col>
      <xdr:colOff>251331</xdr:colOff>
      <xdr:row>2</xdr:row>
      <xdr:rowOff>201705</xdr:rowOff>
    </xdr:from>
    <xdr:to>
      <xdr:col>43</xdr:col>
      <xdr:colOff>169688</xdr:colOff>
      <xdr:row>18</xdr:row>
      <xdr:rowOff>72037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64</xdr:col>
      <xdr:colOff>108856</xdr:colOff>
      <xdr:row>1</xdr:row>
      <xdr:rowOff>23130</xdr:rowOff>
    </xdr:from>
    <xdr:to>
      <xdr:col>71</xdr:col>
      <xdr:colOff>598713</xdr:colOff>
      <xdr:row>13</xdr:row>
      <xdr:rowOff>54427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99</xdr:col>
      <xdr:colOff>381000</xdr:colOff>
      <xdr:row>13</xdr:row>
      <xdr:rowOff>114300</xdr:rowOff>
    </xdr:from>
    <xdr:to>
      <xdr:col>119</xdr:col>
      <xdr:colOff>495300</xdr:colOff>
      <xdr:row>54</xdr:row>
      <xdr:rowOff>152400</xdr:rowOff>
    </xdr:to>
    <xdr:graphicFrame macro="">
      <xdr:nvGraphicFramePr>
        <xdr:cNvPr id="30" name="Диаграмма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489492</xdr:colOff>
      <xdr:row>41</xdr:row>
      <xdr:rowOff>102993</xdr:rowOff>
    </xdr:from>
    <xdr:to>
      <xdr:col>10</xdr:col>
      <xdr:colOff>219533</xdr:colOff>
      <xdr:row>55</xdr:row>
      <xdr:rowOff>156781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16</xdr:col>
      <xdr:colOff>675408</xdr:colOff>
      <xdr:row>42</xdr:row>
      <xdr:rowOff>174200</xdr:rowOff>
    </xdr:from>
    <xdr:to>
      <xdr:col>21</xdr:col>
      <xdr:colOff>890359</xdr:colOff>
      <xdr:row>57</xdr:row>
      <xdr:rowOff>97593</xdr:rowOff>
    </xdr:to>
    <xdr:graphicFrame macro="">
      <xdr:nvGraphicFramePr>
        <xdr:cNvPr id="31" name="Диаграмма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21</xdr:col>
      <xdr:colOff>1177638</xdr:colOff>
      <xdr:row>45</xdr:row>
      <xdr:rowOff>49917</xdr:rowOff>
    </xdr:from>
    <xdr:to>
      <xdr:col>25</xdr:col>
      <xdr:colOff>241436</xdr:colOff>
      <xdr:row>59</xdr:row>
      <xdr:rowOff>146491</xdr:rowOff>
    </xdr:to>
    <xdr:graphicFrame macro="">
      <xdr:nvGraphicFramePr>
        <xdr:cNvPr id="32" name="Диаграмма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190500</xdr:colOff>
      <xdr:row>57</xdr:row>
      <xdr:rowOff>103909</xdr:rowOff>
    </xdr:from>
    <xdr:to>
      <xdr:col>10</xdr:col>
      <xdr:colOff>526677</xdr:colOff>
      <xdr:row>71</xdr:row>
      <xdr:rowOff>192333</xdr:rowOff>
    </xdr:to>
    <xdr:graphicFrame macro="">
      <xdr:nvGraphicFramePr>
        <xdr:cNvPr id="33" name="Диаграмма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67107</xdr:colOff>
      <xdr:row>75</xdr:row>
      <xdr:rowOff>2</xdr:rowOff>
    </xdr:from>
    <xdr:to>
      <xdr:col>10</xdr:col>
      <xdr:colOff>416273</xdr:colOff>
      <xdr:row>89</xdr:row>
      <xdr:rowOff>164192</xdr:rowOff>
    </xdr:to>
    <xdr:graphicFrame macro="">
      <xdr:nvGraphicFramePr>
        <xdr:cNvPr id="34" name="Диаграмма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16</xdr:col>
      <xdr:colOff>1000124</xdr:colOff>
      <xdr:row>57</xdr:row>
      <xdr:rowOff>190499</xdr:rowOff>
    </xdr:from>
    <xdr:to>
      <xdr:col>21</xdr:col>
      <xdr:colOff>1215075</xdr:colOff>
      <xdr:row>72</xdr:row>
      <xdr:rowOff>113892</xdr:rowOff>
    </xdr:to>
    <xdr:graphicFrame macro="">
      <xdr:nvGraphicFramePr>
        <xdr:cNvPr id="35" name="Диаграмма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16</xdr:col>
      <xdr:colOff>1095374</xdr:colOff>
      <xdr:row>75</xdr:row>
      <xdr:rowOff>23813</xdr:rowOff>
    </xdr:from>
    <xdr:to>
      <xdr:col>21</xdr:col>
      <xdr:colOff>1310325</xdr:colOff>
      <xdr:row>89</xdr:row>
      <xdr:rowOff>161518</xdr:rowOff>
    </xdr:to>
    <xdr:graphicFrame macro="">
      <xdr:nvGraphicFramePr>
        <xdr:cNvPr id="36" name="Диаграмма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21</xdr:col>
      <xdr:colOff>1500188</xdr:colOff>
      <xdr:row>61</xdr:row>
      <xdr:rowOff>166688</xdr:rowOff>
    </xdr:from>
    <xdr:to>
      <xdr:col>25</xdr:col>
      <xdr:colOff>563986</xdr:colOff>
      <xdr:row>76</xdr:row>
      <xdr:rowOff>96574</xdr:rowOff>
    </xdr:to>
    <xdr:graphicFrame macro="">
      <xdr:nvGraphicFramePr>
        <xdr:cNvPr id="37" name="Диаграмма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21</xdr:col>
      <xdr:colOff>1262062</xdr:colOff>
      <xdr:row>78</xdr:row>
      <xdr:rowOff>0</xdr:rowOff>
    </xdr:from>
    <xdr:to>
      <xdr:col>25</xdr:col>
      <xdr:colOff>325860</xdr:colOff>
      <xdr:row>92</xdr:row>
      <xdr:rowOff>168011</xdr:rowOff>
    </xdr:to>
    <xdr:graphicFrame macro="">
      <xdr:nvGraphicFramePr>
        <xdr:cNvPr id="38" name="Диаграмма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legk/Documents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dP_atm"/>
      <definedName name="ESP_Encode_string"/>
      <definedName name="ESP_head_m"/>
      <definedName name="ESP_IDbyRate"/>
      <definedName name="ESP_maxRate_m3day"/>
      <definedName name="ESP_name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Well_Encode_string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topLeftCell="A10" workbookViewId="0">
      <selection activeCell="C39" sqref="C39"/>
    </sheetView>
  </sheetViews>
  <sheetFormatPr defaultRowHeight="15" x14ac:dyDescent="0.25"/>
  <sheetData>
    <row r="1" spans="1:5" x14ac:dyDescent="0.25">
      <c r="A1" t="str">
        <f>"вер "&amp;B1</f>
        <v>вер 7.5</v>
      </c>
      <c r="B1" s="16">
        <v>7.5</v>
      </c>
    </row>
    <row r="2" spans="1:5" x14ac:dyDescent="0.25">
      <c r="A2" t="s">
        <v>153</v>
      </c>
    </row>
    <row r="4" spans="1:5" x14ac:dyDescent="0.25">
      <c r="A4" s="169" t="str">
        <f>"Унифлок "&amp;версия_номер_</f>
        <v>Унифлок 7.5</v>
      </c>
      <c r="B4" s="169"/>
      <c r="C4" s="169"/>
      <c r="D4" s="169"/>
      <c r="E4" s="169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16" zoomScaleNormal="100" workbookViewId="0">
      <selection activeCell="C9" sqref="C9"/>
    </sheetView>
  </sheetViews>
  <sheetFormatPr defaultRowHeight="15" outlineLevelRow="1" x14ac:dyDescent="0.25"/>
  <cols>
    <col min="1" max="1" width="7.28515625" style="11" customWidth="1"/>
    <col min="2" max="6" width="8.85546875" customWidth="1"/>
    <col min="7" max="7" width="8.85546875" style="1" customWidth="1"/>
    <col min="8" max="17" width="8.85546875" customWidth="1"/>
  </cols>
  <sheetData>
    <row r="1" spans="1:17" x14ac:dyDescent="0.25">
      <c r="A1" s="11" t="str">
        <f>версия_</f>
        <v>вер 7.5</v>
      </c>
      <c r="J1" s="2" t="s">
        <v>23</v>
      </c>
      <c r="K1" s="2"/>
      <c r="L1" s="2"/>
    </row>
    <row r="2" spans="1:17" ht="18" x14ac:dyDescent="0.25">
      <c r="A2" s="169" t="s">
        <v>0</v>
      </c>
      <c r="B2" s="169"/>
      <c r="C2" s="169"/>
      <c r="D2" s="169"/>
      <c r="E2" s="169"/>
      <c r="J2" s="6" t="s">
        <v>26</v>
      </c>
      <c r="K2" s="9">
        <v>1</v>
      </c>
      <c r="L2" s="5" t="s">
        <v>6</v>
      </c>
    </row>
    <row r="3" spans="1:17" ht="18" customHeight="1" x14ac:dyDescent="0.25">
      <c r="F3" s="170" t="s">
        <v>66</v>
      </c>
      <c r="G3" s="170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E7" s="2"/>
      <c r="F7" s="2" t="s">
        <v>4</v>
      </c>
      <c r="G7" s="2"/>
      <c r="H7" s="2"/>
      <c r="J7" s="2" t="s">
        <v>8</v>
      </c>
      <c r="K7" s="2"/>
      <c r="L7" s="2"/>
      <c r="N7" s="171" t="s">
        <v>28</v>
      </c>
      <c r="O7" s="171"/>
      <c r="P7" s="171"/>
      <c r="Q7" s="171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0.94499999999999995</v>
      </c>
      <c r="H8" s="5"/>
      <c r="J8" s="7" t="s">
        <v>32</v>
      </c>
      <c r="K8" s="52">
        <v>120.48</v>
      </c>
      <c r="L8" s="5" t="s">
        <v>33</v>
      </c>
      <c r="N8" s="6" t="s">
        <v>29</v>
      </c>
      <c r="O8" s="9">
        <v>0.7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60">
        <v>0.9</v>
      </c>
      <c r="H9" s="5"/>
      <c r="I9" s="64"/>
      <c r="J9" s="5" t="s">
        <v>19</v>
      </c>
      <c r="K9" s="52">
        <v>19.48</v>
      </c>
      <c r="L9" s="5" t="s">
        <v>9</v>
      </c>
      <c r="N9" s="5" t="s">
        <v>30</v>
      </c>
      <c r="O9" s="9">
        <v>30</v>
      </c>
      <c r="P9" s="5" t="s">
        <v>2</v>
      </c>
      <c r="Q9" s="2"/>
    </row>
    <row r="10" spans="1:17" ht="18" x14ac:dyDescent="0.25">
      <c r="C10" s="64"/>
      <c r="F10" s="5" t="s">
        <v>14</v>
      </c>
      <c r="G10" s="9">
        <v>1.0109999999999999</v>
      </c>
      <c r="H10" s="5"/>
      <c r="J10" s="7" t="s">
        <v>34</v>
      </c>
      <c r="K10" s="12">
        <f>Ql_scm3day_*(1-wc_perc_/100)*gamma_oil_</f>
        <v>91.674918719999994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29.25</v>
      </c>
      <c r="H11" s="5" t="s">
        <v>17</v>
      </c>
      <c r="J11" s="7" t="s">
        <v>18</v>
      </c>
      <c r="K11" s="52">
        <v>27.58</v>
      </c>
      <c r="L11" s="5" t="s">
        <v>17</v>
      </c>
    </row>
    <row r="12" spans="1:17" ht="18" x14ac:dyDescent="0.25">
      <c r="J12" s="7" t="s">
        <v>18</v>
      </c>
      <c r="K12" s="13">
        <f>Rp_m3m3_/gamma_oil_</f>
        <v>29.185185185185183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16</v>
      </c>
      <c r="H14" s="5" t="s">
        <v>67</v>
      </c>
    </row>
    <row r="15" spans="1:17" ht="18" x14ac:dyDescent="0.25">
      <c r="F15" s="5" t="s">
        <v>20</v>
      </c>
      <c r="G15" s="9">
        <v>40</v>
      </c>
      <c r="H15" s="5" t="s">
        <v>2</v>
      </c>
    </row>
    <row r="16" spans="1:17" ht="18" x14ac:dyDescent="0.25">
      <c r="F16" s="7" t="s">
        <v>21</v>
      </c>
      <c r="G16" s="9">
        <v>1.0449999999999999</v>
      </c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68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69</v>
      </c>
      <c r="C22" s="2"/>
      <c r="D22" s="2"/>
      <c r="E22" s="2"/>
      <c r="F22" s="2"/>
      <c r="G22" s="2" t="s">
        <v>70</v>
      </c>
      <c r="H22" s="2"/>
    </row>
    <row r="23" spans="2:33" ht="18" outlineLevel="1" x14ac:dyDescent="0.25">
      <c r="B23" s="5" t="s">
        <v>71</v>
      </c>
      <c r="C23" s="22">
        <f>[1]!PVT_Pb_atma(Tres_C_,gamma_gas_,gamma_oil_,gamma_w_,Rsb_m3m3_,,Pb_atma_,Tres_C_,Bob_m3m3_,mu_cP_,PVT_correlation_,Ksep_,Psep_atma_,Tsep_C_)</f>
        <v>31.515066652350537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34.174227597200854</v>
      </c>
      <c r="H23" s="2"/>
    </row>
    <row r="24" spans="2:33" ht="18" outlineLevel="1" x14ac:dyDescent="0.25">
      <c r="B24" s="5" t="s">
        <v>16</v>
      </c>
      <c r="C24" s="24">
        <f>Tres_C_</f>
        <v>16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29.25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72</v>
      </c>
      <c r="C26" s="26">
        <f>[1]!PVT_Bo_m3m3(C23,Tres_C_,gamma_gas_,gamma_oil_,gamma_w_,Rsb_m3m3_,,Pb_atma_,Tres_C_,Bob_m3m3_,mu_cP_,PVT_correlation_,Ksep_,Psep_atma_,Tsep_C_)</f>
        <v>1.0394715768555258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73</v>
      </c>
      <c r="C27" s="22">
        <f>[1]!PVT_Rhoo_kgm3(C23,Tres_C_,gamma_gas_,gamma_oil_,gamma_w_,Rsb_m3m3_,,Pb_atma_,Tres_C_,Bob_m3m3_,mu_cP_,PVT_correlation_,Ksep_,Psep_atma_,Tsep_C_)</f>
        <v>935.90395706395509</v>
      </c>
      <c r="D27" s="5" t="s">
        <v>74</v>
      </c>
      <c r="E27" s="2"/>
      <c r="F27" s="2"/>
      <c r="G27" s="10"/>
      <c r="H27" s="2"/>
    </row>
    <row r="28" spans="2:33" ht="18" outlineLevel="1" x14ac:dyDescent="0.25">
      <c r="B28" s="8" t="s">
        <v>75</v>
      </c>
      <c r="C28" s="27">
        <f>[1]!PVT_Muo_cP(C23,Tres_C_,gamma_gas_,gamma_oil_,gamma_w_,Rsb_m3m3_,,Pb_atma_,Tres_C_,Bob_m3m3_,mu_cP_,PVT_correlation_,Ksep_,Psep_atma_,Tsep_C_)</f>
        <v>140.47888455647546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76</v>
      </c>
      <c r="C31" s="2"/>
      <c r="D31" s="2"/>
      <c r="E31" s="2"/>
      <c r="F31" s="2"/>
      <c r="G31" s="28"/>
      <c r="H31" s="2" t="s">
        <v>77</v>
      </c>
      <c r="I31" s="2"/>
      <c r="J31" s="2"/>
      <c r="K31" s="2"/>
      <c r="L31" s="2" t="s">
        <v>78</v>
      </c>
      <c r="M31" s="2"/>
      <c r="N31" s="2"/>
      <c r="Q31" s="2" t="s">
        <v>79</v>
      </c>
      <c r="R31" s="2"/>
      <c r="S31" s="2"/>
      <c r="T31" s="2"/>
      <c r="U31" s="2"/>
      <c r="V31" s="2"/>
      <c r="W31" s="2"/>
      <c r="X31" s="2"/>
      <c r="Z31" s="2" t="s">
        <v>80</v>
      </c>
      <c r="AA31" s="2"/>
      <c r="AB31" s="2"/>
    </row>
    <row r="32" spans="2:33" ht="18" outlineLevel="1" x14ac:dyDescent="0.35">
      <c r="B32" s="5" t="s">
        <v>81</v>
      </c>
      <c r="C32" s="22">
        <f>[1]!PVT_Rhoo_kgm3(Psc_atma_,Tsc_C_,gamma_gas_,gamma_oil_,gamma_w_,Rsb_m3m3_,,Pb_atma_,Tres_C_,Bob_m3m3_,mu_cP_,PVT_correlation_,Ksep_,Psep_atma_,Tsep_C_)</f>
        <v>943.97704355354642</v>
      </c>
      <c r="D32" s="5" t="s">
        <v>74</v>
      </c>
      <c r="E32" s="29">
        <f>[1]!PVT_Rhoo_kgm3(Psc_atma_,Tsc_C_,gamma_gas_,gamma_oil_,gamma_w_,Rsb_m3m3_,,,,,,PVT_correlation_,Ksep_,Psep_atma_,Tsep_C_)</f>
        <v>943.35591422855964</v>
      </c>
      <c r="F32" s="30">
        <f t="shared" ref="F32:F37" si="0">(E32-C32)/E32</f>
        <v>-6.5842521959987705E-4</v>
      </c>
      <c r="G32" s="31"/>
      <c r="H32" s="5" t="s">
        <v>82</v>
      </c>
      <c r="I32" s="27">
        <f>[1]!PVT_Rhog_kgm3(Psc_atma_,Tsc_C_,gamma_gas_,gamma_oil_,gamma_w_,Rsb_m3m3_,,Pb_atma_,Tres_C_,Bob_m3m3_,mu_cP_,PVT_correlation_,Ksep_,Psep_atma_,Tsep_C_)</f>
        <v>1.1183989348352967</v>
      </c>
      <c r="J32" s="5" t="s">
        <v>74</v>
      </c>
      <c r="L32" s="5" t="s">
        <v>83</v>
      </c>
      <c r="M32" s="22">
        <f>[1]!PVT_Rhow_kgm3(Psc_atma_,Tsc_C_,gamma_gas_,gamma_oil_,gamma_w_,Rsb_m3m3_,,Pb_atma_,Tres_C_,Bob_m3m3_,mu_cP_,PVT_correlation_,Ksep_,Psep_atma_,Tsep_C_)</f>
        <v>1011.3437826301599</v>
      </c>
      <c r="N32" s="5" t="s">
        <v>74</v>
      </c>
      <c r="Q32" s="5" t="s">
        <v>84</v>
      </c>
      <c r="R32" s="32">
        <v>0.94499999999999995</v>
      </c>
      <c r="S32" s="2"/>
      <c r="T32" s="2" t="s">
        <v>85</v>
      </c>
      <c r="U32" s="2"/>
      <c r="V32" s="2" t="s">
        <v>86</v>
      </c>
      <c r="W32" s="2"/>
      <c r="X32" s="2" t="s">
        <v>87</v>
      </c>
      <c r="Z32" s="5" t="s">
        <v>71</v>
      </c>
      <c r="AA32" s="33">
        <f>ABS(U33)</f>
        <v>0.10661738597748292</v>
      </c>
      <c r="AB32" s="34">
        <f>ABS(Pb_diff_)</f>
        <v>0.11520173556035357</v>
      </c>
      <c r="AD32" s="2" t="str">
        <f>Q34&amp; " = "&amp;IFERROR(TEXT(gamma_gas_diff_total_*100,"0.0") &amp; "%",TEXT(gamma_gas_diff_total_*100,"0,0") &amp; "%")</f>
        <v>Сумм откл = 9.7%</v>
      </c>
      <c r="AE32" s="2"/>
      <c r="AF32" s="2"/>
      <c r="AG32" s="2"/>
    </row>
    <row r="33" spans="2:33" ht="18" outlineLevel="1" x14ac:dyDescent="0.25">
      <c r="B33" s="5" t="s">
        <v>88</v>
      </c>
      <c r="C33" s="27">
        <f>[1]!PVT_Muo_cP(Psc_atma_,Tsc_C_,gamma_gas_,gamma_oil_,gamma_w_,Rsb_m3m3_,,Pb_atma_,Tres_C_,Bob_m3m3_,mu_cP_,PVT_correlation_,Ksep_,Psep_atma_,Tsep_C_)</f>
        <v>355.68254854191684</v>
      </c>
      <c r="D33" s="5" t="s">
        <v>7</v>
      </c>
      <c r="E33" s="29">
        <f>[1]!PVT_Muo_cP(Psc_atma_,Tsc_C_,gamma_gas_,gamma_oil_,gamma_w_,Rsb_m3m3_,,,,,,PVT_correlation_,Ksep_,Psep_atma_,Tsep_C_)</f>
        <v>370.80949983757262</v>
      </c>
      <c r="F33" s="30">
        <f t="shared" si="0"/>
        <v>4.0794400635048182E-2</v>
      </c>
      <c r="G33" s="31"/>
      <c r="H33" s="5" t="s">
        <v>89</v>
      </c>
      <c r="I33" s="39">
        <f>[1]!PVT_Mug_cP(Psc_atma_,Tsc_C_,gamma_gas_,gamma_oil_,gamma_w_,Rsb_m3m3_,,Pb_atma_,Tres_C_,Bob_m3m3_,mu_cP_,PVT_correlation_,Ksep_,Psep_atma_,Tsep_C_)</f>
        <v>9.419629445256433E-3</v>
      </c>
      <c r="J33" s="5" t="s">
        <v>7</v>
      </c>
      <c r="L33" s="5" t="s">
        <v>90</v>
      </c>
      <c r="M33" s="26">
        <f>[1]!PVT_Muw_cP(Psc_atma_,Tsc_C_,gamma_gas_,gamma_oil_,gamma_w_,Rsb_m3m3_,,Pb_atma_,Tres_C_,Bob_m3m3_,mu_cP_,PVT_correlation_,Ksep_,Psep_atma_,Tsep_C_)</f>
        <v>1.1947337392127508</v>
      </c>
      <c r="N33" s="5" t="s">
        <v>7</v>
      </c>
      <c r="Q33" s="5" t="s">
        <v>91</v>
      </c>
      <c r="R33" s="32">
        <v>0.87804251504460373</v>
      </c>
      <c r="S33" s="5" t="s">
        <v>71</v>
      </c>
      <c r="T33" s="29">
        <f>[1]!PVT_Pb_atma(Tres_C_,gamma_gas_,gamma_oil_,gamma_w_,Rsb_m3m3_,,,Tres_C_,,,PVT_correlation_,Ksep_,Psep_atma_,Tsep_C_)</f>
        <v>35.276113680399227</v>
      </c>
      <c r="U33" s="30">
        <f>(T33-C23)/T33</f>
        <v>0.10661738597748292</v>
      </c>
      <c r="V33" s="29">
        <f>[1]!PVT_Pb_atma(Tres_C_,gamma_gas_new_,gamma_oil_new_,gamma_w_,Rsb_m3m3_,,,Tres_C_,,,PVT_correlation_,Ksep_,Psep_atma_,Tsep_C_)</f>
        <v>35.618364003357776</v>
      </c>
      <c r="W33" s="30">
        <f>(V33-C23)/V33</f>
        <v>0.11520173556035357</v>
      </c>
      <c r="X33" s="2">
        <v>2</v>
      </c>
      <c r="Z33" s="7" t="s">
        <v>72</v>
      </c>
      <c r="AA33" s="33">
        <f>ABS(U34)</f>
        <v>0.17545597464793267</v>
      </c>
      <c r="AB33" s="33">
        <f>ABS(W34)</f>
        <v>0.15949021827522999</v>
      </c>
      <c r="AD33" s="2" t="str">
        <f>F9 &amp;" = "&amp;IFERROR(  TEXT(gamma_gas_,"0.00"),TEXT(gamma_gas_,"0,00")) &amp;",  "&amp; F8 &amp;" = "&amp;  IFERROR(TEXT(gamma_oil_,"0.00"),TEXT(gamma_oil_,"0,00"))</f>
        <v>γg = 0.90,  γo = 0.95</v>
      </c>
      <c r="AE33" s="2"/>
      <c r="AF33" s="2"/>
      <c r="AG33" s="2"/>
    </row>
    <row r="34" spans="2:33" ht="18" outlineLevel="1" x14ac:dyDescent="0.25">
      <c r="B34" s="5" t="s">
        <v>92</v>
      </c>
      <c r="C34" s="27">
        <f>[1]!PVT_Rs_m3m3(P_atma_,T_C_,gamma_gas_,gamma_oil_,gamma_w_,Rsb_m3m3_,,Pb_atma_,Tres_C_,Bob_m3m3_,mu_cP_,PVT_correlation_,Ksep_,Psep_atma_,Tsep_C_)</f>
        <v>23.738610027054975</v>
      </c>
      <c r="D34" s="5" t="s">
        <v>17</v>
      </c>
      <c r="E34" s="29">
        <f>[1]!PVT_Rs_m3m3(P_atma_,T_C_,gamma_gas_,gamma_oil_,gamma_w_,Rsb_m3m3_,,,,,,PVT_correlation_,Ksep_,Psep_atma_,Tsep_C_)</f>
        <v>20.507359771321575</v>
      </c>
      <c r="F34" s="30">
        <f t="shared" si="0"/>
        <v>-0.15756539563187102</v>
      </c>
      <c r="G34" s="31"/>
      <c r="H34" s="5" t="s">
        <v>93</v>
      </c>
      <c r="I34" s="26">
        <f>[1]!PVT_Z(P_atma_,T_C_,gamma_gas_,gamma_oil_,gamma_w_,Rsb_m3m3_,,Pb_atma_,Tres_C_,Bob_m3m3_,mu_cP_,PVT_correlation_,Ksep_,Psep_atma_,Tsep_C_)</f>
        <v>0.91746966084166959</v>
      </c>
      <c r="J34" s="5"/>
      <c r="L34" s="5" t="s">
        <v>94</v>
      </c>
      <c r="M34" s="22">
        <f>[1]!PVT_Sal_ppm(Psc_atma_,Tsc_C_,gamma_gas_,gamma_oil_,gamma_w_,Rsb_m3m3_,,Pb_atma_,Tres_C_,Bob_m3m3_,mu_cP_,PVT_correlation_,Ksep_,Psep_atma_,Tsep_C_)</f>
        <v>16916.055461760494</v>
      </c>
      <c r="N34" s="5" t="s">
        <v>164</v>
      </c>
      <c r="Q34" s="35" t="s">
        <v>95</v>
      </c>
      <c r="R34" s="36">
        <f>((X33*W33^2+X34*W34^2+X35*W35^2+X36*W36^2+X37*W37^2+X38*W38^2)/SUM(X33:X38))^0.5</f>
        <v>9.7132087539835946E-2</v>
      </c>
      <c r="S34" s="7" t="s">
        <v>72</v>
      </c>
      <c r="T34" s="37">
        <f>[1]!PVT_Bo_m3m3(T33,Tres_C_,gamma_gas_,gamma_oil_,gamma_w_,Rsb_m3m3_,,,,,,PVT_correlation_,Ksep_,Psep_atma_,Tsep_C_)</f>
        <v>1.047870793604589</v>
      </c>
      <c r="U34" s="30">
        <f>(T34-C26)/(T34-1)</f>
        <v>0.17545597464793267</v>
      </c>
      <c r="V34" s="37">
        <f>[1]!PVT_Bo_m3m3(V33,Tres_C_,gamma_gas_new_,gamma_oil_new_,gamma_w_,Rsb_m3m3_,,,,,,PVT_correlation_,Ksep_,Psep_atma_,Tsep_C_)</f>
        <v>1.0469614723275773</v>
      </c>
      <c r="W34" s="30">
        <f>(V34-C26)/(V34-1)</f>
        <v>0.15949021827522999</v>
      </c>
      <c r="X34" s="2">
        <v>2</v>
      </c>
      <c r="Z34" s="8" t="s">
        <v>75</v>
      </c>
      <c r="AA34" s="33">
        <f>ABS(U36)</f>
        <v>7.7370469049964169E-2</v>
      </c>
      <c r="AB34" s="33">
        <f>ABS(W36)</f>
        <v>8.8539690477160468E-2</v>
      </c>
      <c r="AD34" s="2" t="str">
        <f>Q33&amp;" = "&amp;IFERROR(TEXT(gamma_gas_new_,"0.00"),TEXT(gamma_gas_new_,"0,00"))&amp;",  "&amp;Q32&amp;" = "&amp;IFERROR(TEXT(gamma_oil_new_,"0.00"),TEXT(gamma_oil_new_,"0,00"))</f>
        <v>γg new  = 0.88,  γo new  = 0.95</v>
      </c>
      <c r="AE34" s="2"/>
      <c r="AF34" s="2"/>
      <c r="AG34" s="2"/>
    </row>
    <row r="35" spans="2:33" ht="18" outlineLevel="1" x14ac:dyDescent="0.25">
      <c r="B35" s="5" t="s">
        <v>96</v>
      </c>
      <c r="C35" s="26">
        <f>[1]!PVT_Bo_m3m3(P_atma_,T_C_,gamma_gas_,gamma_oil_,gamma_w_,Rsb_m3m3_,,Pb_atma_,Tres_C_,Bob_m3m3_,mu_cP_,PVT_correlation_,Ksep_,Psep_atma_,Tsep_C_)</f>
        <v>1.0452957021409368</v>
      </c>
      <c r="D35" s="5" t="s">
        <v>17</v>
      </c>
      <c r="E35" s="29">
        <f>[1]!PVT_Bo_m3m3(P_atma_,T_C_,gamma_gas_,gamma_oil_,gamma_w_,Rsb_m3m3_,,,,,,PVT_correlation_,Ksep_,Psep_atma_,Tsep_C_)</f>
        <v>1.0538248429635644</v>
      </c>
      <c r="F35" s="30">
        <f t="shared" si="0"/>
        <v>8.0935089731249202E-3</v>
      </c>
      <c r="G35" s="31"/>
      <c r="H35" s="5" t="s">
        <v>97</v>
      </c>
      <c r="I35" s="39">
        <f>[1]!PVT_Bg_m3m3(P_atma_,T_C_,gamma_gas_,gamma_oil_,gamma_w_,Rsb_m3m3_,,Pb_atma_,Tres_C_,Bob_m3m3_,mu_cP_,PVT_correlation_,Ksep_,Psep_atma_,Tsep_C_)</f>
        <v>3.175420220022887E-2</v>
      </c>
      <c r="J35" s="5" t="s">
        <v>17</v>
      </c>
      <c r="L35" s="5" t="s">
        <v>98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73</v>
      </c>
      <c r="T35" s="29">
        <f>[1]!PVT_Rhoo_kgm3(C23,Tres_C_,gamma_gas_,gamma_oil_,gamma_w_,Rsb_m3m3_,,,,,,PVT_correlation_,Ksep_,Psep_atma_,Tsep_C_)</f>
        <v>927.26567593816526</v>
      </c>
      <c r="U35" s="30">
        <f>(T35-C27)/T35</f>
        <v>-9.3158642123251367E-3</v>
      </c>
      <c r="V35" s="29">
        <f>[1]!PVT_Rhoo_kgm3(C23,Tres_C_,gamma_gas_new_,gamma_oil_new_,gamma_w_,Rsb_m3m3_,,,,,,PVT_correlation_,Ksep_,Psep_atma_,Tsep_C_)</f>
        <v>927.23613485077044</v>
      </c>
      <c r="W35" s="30">
        <f>(V35-C27)/V35</f>
        <v>-9.348020301839996E-3</v>
      </c>
      <c r="X35" s="2">
        <v>0</v>
      </c>
      <c r="Z35" s="5" t="s">
        <v>102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99</v>
      </c>
      <c r="C36" s="22">
        <f>[1]!PVT_Rhoo_kgm3(P_atma_,T_C_,gamma_gas_,gamma_oil_,gamma_w_,Rsb_m3m3_,,Pb_atma_,Tres_C_,Bob_m3m3_,mu_cP_,PVT_correlation_,Ksep_,Psep_atma_,Tsep_C_)</f>
        <v>929.02067031756962</v>
      </c>
      <c r="D36" s="5" t="s">
        <v>74</v>
      </c>
      <c r="E36" s="29">
        <f>[1]!PVT_Rhoo_kgm3(P_atma_,T_C_,gamma_gas_,gamma_oil_,gamma_w_,Rsb_m3m3_,,,,,,PVT_correlation_,Ksep_,Psep_atma_,Tsep_C_)</f>
        <v>918.13024123479863</v>
      </c>
      <c r="F36" s="30">
        <f t="shared" si="0"/>
        <v>-1.186152965414187E-2</v>
      </c>
      <c r="G36" s="31"/>
      <c r="H36" s="5" t="s">
        <v>100</v>
      </c>
      <c r="I36" s="22">
        <f>[1]!PVT_Rhog_kgm3(P_atma_,T_C_,gamma_gas_,gamma_oil_,gamma_w_,Rsb_m3m3_,,Pb_atma_,Tres_C_,Bob_m3m3_,mu_cP_,PVT_correlation_,Ksep_,Psep_atma_,Tsep_C_)</f>
        <v>34.626283257466788</v>
      </c>
      <c r="J36" s="5" t="s">
        <v>74</v>
      </c>
      <c r="L36" s="5" t="s">
        <v>101</v>
      </c>
      <c r="M36" s="22">
        <f>[1]!PVT_Rhow_kgm3(P_atma_,T_C_,gamma_gas_,gamma_oil_,gamma_w_,Rsb_m3m3_,,Pb_atma_,Tres_C_,Bob_m3m3_,mu_cP_,PVT_correlation_,Ksep_,Psep_atma_,Tsep_C_)</f>
        <v>1005.8433975278614</v>
      </c>
      <c r="N36" s="5" t="s">
        <v>74</v>
      </c>
      <c r="S36" s="8" t="s">
        <v>75</v>
      </c>
      <c r="T36" s="38">
        <f>[1]!PVT_Muo_cP(T33,Tres_C_,gamma_gas_,gamma_oil_,gamma_w_,Rsb_m3m3_,,,,,,PVT_correlation_,Ksep_,Psep_atma_,Tsep_C_)</f>
        <v>152.25925449386355</v>
      </c>
      <c r="U36" s="30">
        <f>(T36-C28)/T36</f>
        <v>7.7370469049964169E-2</v>
      </c>
      <c r="V36" s="38">
        <f>[1]!PVT_Muo_cP(V33,Tres_C_,gamma_gas_new_,gamma_oil_new_,gamma_w_,Rsb_m3m3_,,,,,,PVT_correlation_,Ksep_,Psep_atma_,Tsep_C_)</f>
        <v>154.12507060238076</v>
      </c>
      <c r="W36" s="30">
        <f>(V36-C28)/V36</f>
        <v>8.8539690477160468E-2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2.4397205505995875E-2</v>
      </c>
    </row>
    <row r="37" spans="2:33" ht="18" outlineLevel="1" x14ac:dyDescent="0.25">
      <c r="B37" s="5" t="s">
        <v>103</v>
      </c>
      <c r="C37" s="27">
        <f>[1]!PVT_Muo_cP(P_atma_,T_C_,gamma_gas_,gamma_oil_,gamma_w_,Rsb_m3m3_,,Pb_atma_,Tres_C_,Bob_m3m3_,mu_cP_,PVT_correlation_,Ksep_,Psep_atma_,Tsep_C_)</f>
        <v>80.337034247277529</v>
      </c>
      <c r="D37" s="5" t="s">
        <v>7</v>
      </c>
      <c r="E37" s="29">
        <f>[1]!PVT_Muo_cP(P_atma_,T_C_,gamma_gas_,gamma_oil_,gamma_w_,Rsb_m3m3_,,,,,,PVT_correlation_,Ksep_,Psep_atma_,Tsep_C_)</f>
        <v>89.15228839106959</v>
      </c>
      <c r="F37" s="30">
        <f t="shared" si="0"/>
        <v>9.8878607637345711E-2</v>
      </c>
      <c r="G37" s="31"/>
      <c r="H37" s="5" t="s">
        <v>104</v>
      </c>
      <c r="I37" s="39">
        <f>[1]!PVT_Mug_cP(P_atma_,T_C_,gamma_gas_,gamma_oil_,gamma_w_,Rsb_m3m3_,,Pb_atma_,Tres_C_,Bob_m3m3_,mu_cP_,PVT_correlation_,Ksep_,Psep_atma_,Tsep_C_)</f>
        <v>1.0869448804145528E-2</v>
      </c>
      <c r="J37" s="5" t="s">
        <v>7</v>
      </c>
      <c r="L37" s="5" t="s">
        <v>105</v>
      </c>
      <c r="M37" s="26">
        <f>[1]!PVT_Muw_cP(P_atma_,T_C_,gamma_gas_,gamma_oil_,gamma_w_,Rsb_m3m3_,,Pb_atma_,Tres_C_,Bob_m3m3_,mu_cP_,PVT_correlation_,Ksep_,Psep_atma_,Tsep_C_)</f>
        <v>0.80687439105130299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106</v>
      </c>
      <c r="C38" s="27"/>
      <c r="D38" s="5"/>
      <c r="E38" s="29"/>
      <c r="F38" s="30"/>
      <c r="G38" s="31"/>
      <c r="H38" s="5" t="s">
        <v>107</v>
      </c>
      <c r="I38" s="22"/>
      <c r="J38" s="5"/>
      <c r="L38" s="5" t="s">
        <v>108</v>
      </c>
      <c r="M38" s="22"/>
      <c r="N38" s="5"/>
      <c r="S38" s="5" t="s">
        <v>13</v>
      </c>
      <c r="W38" s="30">
        <f>(R33-G9)/R33</f>
        <v>-2.5007314086927634E-2</v>
      </c>
      <c r="X38" s="2">
        <v>2</v>
      </c>
      <c r="Z38" s="8" t="s">
        <v>73</v>
      </c>
      <c r="AA38" s="33">
        <f>ABS(U35)</f>
        <v>9.3158642123251367E-3</v>
      </c>
      <c r="AB38" s="33">
        <f>ABS(W35)</f>
        <v>9.348020301839996E-3</v>
      </c>
    </row>
    <row r="39" spans="2:33" ht="18" outlineLevel="1" x14ac:dyDescent="0.25">
      <c r="B39" s="5" t="s">
        <v>109</v>
      </c>
      <c r="C39" s="27"/>
      <c r="D39" s="5"/>
      <c r="E39" s="29"/>
      <c r="F39" s="30"/>
      <c r="G39" s="31"/>
      <c r="H39" s="5" t="s">
        <v>110</v>
      </c>
      <c r="I39" s="22"/>
      <c r="J39" s="5"/>
      <c r="L39" s="5" t="s">
        <v>111</v>
      </c>
      <c r="M39" s="22"/>
      <c r="N39" s="5"/>
    </row>
    <row r="40" spans="2:33" ht="18" outlineLevel="1" x14ac:dyDescent="0.25">
      <c r="B40" s="5" t="s">
        <v>166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165</v>
      </c>
      <c r="L40" s="5" t="s">
        <v>167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165</v>
      </c>
    </row>
    <row r="41" spans="2:33" outlineLevel="1" x14ac:dyDescent="0.25">
      <c r="L41" s="31"/>
    </row>
    <row r="42" spans="2:33" outlineLevel="1" x14ac:dyDescent="0.25">
      <c r="B42" s="2" t="s">
        <v>112</v>
      </c>
      <c r="C42" s="2"/>
      <c r="D42" s="2"/>
      <c r="E42" s="28"/>
      <c r="F42" s="31"/>
      <c r="L42" s="31"/>
    </row>
    <row r="43" spans="2:33" ht="18" outlineLevel="1" x14ac:dyDescent="0.25">
      <c r="B43" s="7" t="s">
        <v>113</v>
      </c>
      <c r="C43" s="40" t="e">
        <f>[1]!MF_Qmix_m3day(Ql_scm3day_,wc_perc_,P_atma_,T_C_,gamma_gas_,gamma_oil_,gamma_w_,Rsb_m3m3_,Rp_m3m3_,Pb_atma_,Tres_C_,Bob_m3m3_,mu_cP_,PVT_correlation_,Ksep_,Psep_atma_,Tsep_C_)</f>
        <v>#VALUE!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114</v>
      </c>
      <c r="C44" s="40" t="e">
        <f>[1]!MF_Rhomix_kgm3(Ql_scm3day_,wc_perc_,P_atma_,T_C_,gamma_gas_,gamma_oil_,gamma_w_,Rsb_m3m3_,Rp_m3m3_,Pb_atma_,Tres_C_,Bob_m3m3_,mu_cP_,PVT_correlation_,Ksep_,Psep_atma_,Tsep_C_)</f>
        <v>#VALUE!</v>
      </c>
      <c r="D44" s="5" t="s">
        <v>74</v>
      </c>
      <c r="E44" s="28"/>
      <c r="F44" s="31"/>
    </row>
    <row r="45" spans="2:33" ht="18" outlineLevel="1" x14ac:dyDescent="0.25">
      <c r="B45" s="5" t="s">
        <v>115</v>
      </c>
      <c r="C45" s="40" t="e">
        <f>MF_Mumix_cP(Ql_scm3day_,wc_perc_,P_atma_,T_C_,gamma_gas_,gamma_oil_,gamma_w_,Rsb_m3m3_,Rp_m3m3_,Pb_atma_,Tres_C_,Bob_m3m3_,mu_cP_,PVT_correlation_,Ksep_,Psep_atma_,Tsep_C_)</f>
        <v>#VALUE!</v>
      </c>
      <c r="D45" s="5" t="s">
        <v>7</v>
      </c>
      <c r="E45" s="28"/>
      <c r="F45" s="31"/>
    </row>
    <row r="46" spans="2:33" ht="18" outlineLevel="1" x14ac:dyDescent="0.25">
      <c r="B46" s="5" t="s">
        <v>116</v>
      </c>
      <c r="E46" s="31"/>
      <c r="F46" s="31"/>
    </row>
    <row r="47" spans="2:33" ht="18" outlineLevel="1" x14ac:dyDescent="0.25">
      <c r="B47" s="5" t="s">
        <v>117</v>
      </c>
      <c r="E47" s="31"/>
      <c r="F47" s="31"/>
    </row>
    <row r="48" spans="2:33" ht="18" outlineLevel="1" x14ac:dyDescent="0.25">
      <c r="B48" s="5" t="s">
        <v>118</v>
      </c>
      <c r="E48" s="31"/>
      <c r="F48" s="31"/>
    </row>
    <row r="49" spans="1:29" outlineLevel="1" x14ac:dyDescent="0.25">
      <c r="B49" s="5"/>
      <c r="C49">
        <f>[1]!PVT_STliqgas_Nm(P_atma_,T_C_,gamma_gas_,gamma_oil_,gamma_w_,Rsb_m3m3_,,Pb_atma_,Tres_C_,Bob_m3m3_,mu_cP_,PVT_correlation_,Ksep_,Psep_atma_,Tsep_C_)</f>
        <v>4.2196451605605201E-2</v>
      </c>
      <c r="D49" s="5" t="s">
        <v>165</v>
      </c>
      <c r="E49" s="31"/>
      <c r="F49" s="31"/>
    </row>
    <row r="50" spans="1:29" ht="18" outlineLevel="1" x14ac:dyDescent="0.25">
      <c r="B50" s="5" t="s">
        <v>224</v>
      </c>
      <c r="C50" t="e">
        <f>C45/1000/C44*10^6</f>
        <v>#VALUE!</v>
      </c>
      <c r="D50" s="5" t="s">
        <v>220</v>
      </c>
      <c r="E50" s="31" t="s">
        <v>219</v>
      </c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119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120</v>
      </c>
      <c r="C58" s="5" t="s">
        <v>120</v>
      </c>
      <c r="D58" s="5" t="s">
        <v>92</v>
      </c>
      <c r="E58" s="5" t="s">
        <v>121</v>
      </c>
      <c r="F58" s="5" t="s">
        <v>154</v>
      </c>
      <c r="G58" s="5" t="s">
        <v>96</v>
      </c>
      <c r="H58" s="5" t="s">
        <v>122</v>
      </c>
      <c r="I58" s="5" t="s">
        <v>155</v>
      </c>
      <c r="J58" s="5" t="s">
        <v>99</v>
      </c>
      <c r="K58" s="5" t="s">
        <v>123</v>
      </c>
      <c r="L58" s="5" t="s">
        <v>156</v>
      </c>
      <c r="M58" s="5" t="s">
        <v>103</v>
      </c>
      <c r="N58" s="5" t="s">
        <v>124</v>
      </c>
      <c r="O58" s="5" t="s">
        <v>157</v>
      </c>
      <c r="P58" s="5" t="s">
        <v>158</v>
      </c>
      <c r="Q58" s="5" t="s">
        <v>159</v>
      </c>
      <c r="R58" s="5" t="s">
        <v>160</v>
      </c>
      <c r="Y58" t="s">
        <v>355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2.3584934756444014</v>
      </c>
      <c r="E59" s="2">
        <v>2.7134173957030514</v>
      </c>
      <c r="F59">
        <v>0.24713034324202851</v>
      </c>
      <c r="G59" s="2">
        <v>1.0118357772724025</v>
      </c>
      <c r="H59" s="10">
        <v>1.0124872682481945</v>
      </c>
      <c r="I59">
        <v>1.0111342776860812</v>
      </c>
      <c r="J59" s="2">
        <v>936.50892330146166</v>
      </c>
      <c r="K59" s="2">
        <v>936.29175749468777</v>
      </c>
      <c r="L59">
        <v>934.86270625648376</v>
      </c>
      <c r="M59" s="2">
        <v>180.78740135230979</v>
      </c>
      <c r="N59" s="2">
        <v>177.85481099838555</v>
      </c>
      <c r="O59">
        <v>199.78582466936626</v>
      </c>
      <c r="P59">
        <v>0.95285696985896406</v>
      </c>
      <c r="Q59">
        <v>0.95285696985896406</v>
      </c>
      <c r="R59">
        <v>0.96697858897638356</v>
      </c>
    </row>
    <row r="60" spans="1:29" outlineLevel="1" x14ac:dyDescent="0.25">
      <c r="A60" s="44">
        <v>2</v>
      </c>
      <c r="B60" s="46">
        <f>($B$79-$B$59)/($A$79-$A$59)+B59</f>
        <v>2.6587113798600428</v>
      </c>
      <c r="C60" s="2">
        <v>2.6587113798600428</v>
      </c>
      <c r="D60" s="2">
        <v>6.2433318173740169</v>
      </c>
      <c r="E60" s="2">
        <v>6.3464044729974525</v>
      </c>
      <c r="F60">
        <v>5.0503211292476173</v>
      </c>
      <c r="G60" s="2">
        <v>1.0181082133792945</v>
      </c>
      <c r="H60" s="10">
        <v>1.0183737601011069</v>
      </c>
      <c r="I60">
        <v>1.0214342901460864</v>
      </c>
      <c r="J60" s="2">
        <v>934.9347329924168</v>
      </c>
      <c r="K60" s="2">
        <v>934.80223019069138</v>
      </c>
      <c r="L60">
        <v>930.60609846502473</v>
      </c>
      <c r="M60" s="2">
        <v>152.13389646568055</v>
      </c>
      <c r="N60" s="2">
        <v>151.4669403430627</v>
      </c>
      <c r="O60">
        <v>160.17822935601069</v>
      </c>
      <c r="P60">
        <v>0.92971295888172611</v>
      </c>
      <c r="Q60">
        <v>0.92971295888172611</v>
      </c>
      <c r="R60">
        <v>0.95180896485901012</v>
      </c>
    </row>
    <row r="61" spans="1:29" outlineLevel="1" x14ac:dyDescent="0.25">
      <c r="A61" s="44">
        <v>3</v>
      </c>
      <c r="B61" s="46">
        <f t="shared" ref="B61:B78" si="1">($B$79-$B$59)/($A$79-$A$59)+B60</f>
        <v>4.3174227597200856</v>
      </c>
      <c r="C61" s="2">
        <v>4.3174227597200856</v>
      </c>
      <c r="D61" s="2">
        <v>8.4606221436953248</v>
      </c>
      <c r="E61" s="2">
        <v>8.5020181322200958</v>
      </c>
      <c r="F61">
        <v>7.0715657160282754</v>
      </c>
      <c r="G61" s="2">
        <v>1.0216661702689225</v>
      </c>
      <c r="H61" s="10">
        <v>1.0218393958613756</v>
      </c>
      <c r="I61">
        <v>1.0257406876636954</v>
      </c>
      <c r="J61" s="2">
        <v>934.06509448626082</v>
      </c>
      <c r="K61" s="2">
        <v>933.95129201535337</v>
      </c>
      <c r="L61">
        <v>928.86575536148212</v>
      </c>
      <c r="M61" s="2">
        <v>138.68433528920193</v>
      </c>
      <c r="N61" s="2">
        <v>138.45014608198062</v>
      </c>
      <c r="O61">
        <v>146.89394303785778</v>
      </c>
      <c r="P61">
        <v>0.90412998814661905</v>
      </c>
      <c r="Q61">
        <v>0.90412998814661905</v>
      </c>
      <c r="R61">
        <v>0.93726610482551453</v>
      </c>
    </row>
    <row r="62" spans="1:29" outlineLevel="1" x14ac:dyDescent="0.25">
      <c r="A62" s="44">
        <v>4</v>
      </c>
      <c r="B62" s="46">
        <f t="shared" si="1"/>
        <v>5.9761341395801288</v>
      </c>
      <c r="C62" s="2">
        <v>5.9761341395801288</v>
      </c>
      <c r="D62" s="2">
        <v>10.193224870988717</v>
      </c>
      <c r="E62" s="2">
        <v>10.194843236469335</v>
      </c>
      <c r="F62">
        <v>8.6163291325270936</v>
      </c>
      <c r="G62" s="2">
        <v>1.0244344225097655</v>
      </c>
      <c r="H62" s="10">
        <v>1.0245459153937231</v>
      </c>
      <c r="I62">
        <v>1.0290195696536752</v>
      </c>
      <c r="J62" s="2">
        <v>933.40065067296496</v>
      </c>
      <c r="K62" s="2">
        <v>933.30081318642806</v>
      </c>
      <c r="L62">
        <v>927.55661847356635</v>
      </c>
      <c r="M62" s="2">
        <v>129.35998552493282</v>
      </c>
      <c r="N62" s="2">
        <v>129.35171375091073</v>
      </c>
      <c r="O62">
        <v>137.80647574031428</v>
      </c>
      <c r="P62">
        <v>0.87614550400618441</v>
      </c>
      <c r="Q62">
        <v>0.87614550400618441</v>
      </c>
      <c r="R62">
        <v>0.92272428055623579</v>
      </c>
    </row>
    <row r="63" spans="1:29" outlineLevel="1" x14ac:dyDescent="0.25">
      <c r="A63" s="44">
        <v>5</v>
      </c>
      <c r="B63" s="46">
        <f t="shared" si="1"/>
        <v>7.6348455194401712</v>
      </c>
      <c r="C63" s="2">
        <v>7.6348455194401712</v>
      </c>
      <c r="D63" s="2">
        <v>11.664984545143835</v>
      </c>
      <c r="E63" s="2">
        <v>11.635254557975991</v>
      </c>
      <c r="F63">
        <v>9.9162066865145668</v>
      </c>
      <c r="G63" s="2">
        <v>1.0267773823537298</v>
      </c>
      <c r="H63" s="10">
        <v>1.0268380608526044</v>
      </c>
      <c r="I63">
        <v>1.0317700639669853</v>
      </c>
      <c r="J63" s="2">
        <v>932.84680488505944</v>
      </c>
      <c r="K63" s="2">
        <v>932.75984593798182</v>
      </c>
      <c r="L63">
        <v>926.46918157591585</v>
      </c>
      <c r="M63" s="2">
        <v>122.14851309132015</v>
      </c>
      <c r="N63" s="28">
        <v>122.28824480168304</v>
      </c>
      <c r="O63">
        <v>130.78747070103663</v>
      </c>
      <c r="P63">
        <v>0.84576647432525098</v>
      </c>
      <c r="Q63">
        <v>0.84576647432525098</v>
      </c>
      <c r="R63">
        <v>0.90818380381578512</v>
      </c>
    </row>
    <row r="64" spans="1:29" outlineLevel="1" x14ac:dyDescent="0.25">
      <c r="A64" s="44">
        <v>6</v>
      </c>
      <c r="B64" s="46">
        <f t="shared" si="1"/>
        <v>9.2935568993002136</v>
      </c>
      <c r="C64" s="2">
        <v>9.2935568993002136</v>
      </c>
      <c r="D64" s="2">
        <v>12.967369171085901</v>
      </c>
      <c r="E64" s="2">
        <v>12.910761374235202</v>
      </c>
      <c r="F64">
        <v>11.060333491151171</v>
      </c>
      <c r="G64" s="2">
        <v>1.0288440060972888</v>
      </c>
      <c r="H64" s="10">
        <v>1.0288592900309126</v>
      </c>
      <c r="I64">
        <v>1.0341843241096258</v>
      </c>
      <c r="J64" s="2">
        <v>932.36487333335879</v>
      </c>
      <c r="K64" s="2">
        <v>932.290526749283</v>
      </c>
      <c r="L64">
        <v>925.52279721275704</v>
      </c>
      <c r="M64" s="2">
        <v>116.25168443789903</v>
      </c>
      <c r="N64" s="2">
        <v>116.49914867226349</v>
      </c>
      <c r="O64">
        <v>125.0375217123263</v>
      </c>
      <c r="P64">
        <v>0.81298364657501854</v>
      </c>
      <c r="Q64">
        <v>0.81298364657501854</v>
      </c>
      <c r="R64">
        <v>0.89366795628844398</v>
      </c>
    </row>
    <row r="65" spans="1:25" outlineLevel="1" x14ac:dyDescent="0.25">
      <c r="A65" s="44">
        <v>7</v>
      </c>
      <c r="B65" s="46">
        <f t="shared" si="1"/>
        <v>10.952268279160256</v>
      </c>
      <c r="C65" s="2">
        <v>10.952268279160256</v>
      </c>
      <c r="D65" s="2">
        <v>14.148421673971205</v>
      </c>
      <c r="E65" s="2">
        <v>14.067723066773201</v>
      </c>
      <c r="F65">
        <v>12.094222763792711</v>
      </c>
      <c r="G65" s="2">
        <v>1.0307125553065797</v>
      </c>
      <c r="H65" s="10">
        <v>1.0306856289427155</v>
      </c>
      <c r="I65">
        <v>1.0363604888245719</v>
      </c>
      <c r="J65" s="2">
        <v>931.93452348843209</v>
      </c>
      <c r="K65" s="2">
        <v>931.8727811591433</v>
      </c>
      <c r="L65">
        <v>924.67627923789667</v>
      </c>
      <c r="M65" s="2">
        <v>111.26111431682035</v>
      </c>
      <c r="N65" s="2">
        <v>111.59192012146856</v>
      </c>
      <c r="O65">
        <v>120.15711446741764</v>
      </c>
      <c r="P65">
        <v>0.77777899889197222</v>
      </c>
      <c r="Q65">
        <v>0.77777899889197222</v>
      </c>
      <c r="R65">
        <v>0.87920076667579583</v>
      </c>
    </row>
    <row r="66" spans="1:25" outlineLevel="1" x14ac:dyDescent="0.25">
      <c r="A66" s="44">
        <v>8</v>
      </c>
      <c r="B66" s="46">
        <f t="shared" si="1"/>
        <v>12.610979659020298</v>
      </c>
      <c r="C66" s="2">
        <v>12.610979659020298</v>
      </c>
      <c r="D66" s="2">
        <v>15.23707034718317</v>
      </c>
      <c r="E66" s="2">
        <v>15.134197768611171</v>
      </c>
      <c r="F66">
        <v>13.044819806121687</v>
      </c>
      <c r="G66" s="2">
        <v>1.0324301671636633</v>
      </c>
      <c r="H66" s="10">
        <v>1.0323631063929779</v>
      </c>
      <c r="I66">
        <v>1.0383566723186297</v>
      </c>
      <c r="J66" s="2">
        <v>931.54350439120674</v>
      </c>
      <c r="K66" s="2">
        <v>931.49445046757057</v>
      </c>
      <c r="L66">
        <v>923.9052401707313</v>
      </c>
      <c r="M66" s="2">
        <v>106.93679195607675</v>
      </c>
      <c r="N66" s="2">
        <v>107.33467600747976</v>
      </c>
      <c r="O66">
        <v>115.91436253120702</v>
      </c>
      <c r="P66">
        <v>0.74013022725169908</v>
      </c>
      <c r="Q66">
        <v>0.74013022725169908</v>
      </c>
      <c r="R66">
        <v>0.86480370895308278</v>
      </c>
    </row>
    <row r="67" spans="1:25" outlineLevel="1" x14ac:dyDescent="0.25">
      <c r="A67" s="44">
        <v>9</v>
      </c>
      <c r="B67" s="46">
        <f t="shared" si="1"/>
        <v>14.269691038880341</v>
      </c>
      <c r="C67" s="2">
        <v>14.269691038880341</v>
      </c>
      <c r="D67" s="2">
        <v>16.2523264589714</v>
      </c>
      <c r="E67" s="2">
        <v>16.128688166865373</v>
      </c>
      <c r="F67">
        <v>13.929632381833885</v>
      </c>
      <c r="G67" s="2">
        <v>1.0340278279673805</v>
      </c>
      <c r="H67" s="10">
        <v>1.0339220856119371</v>
      </c>
      <c r="I67">
        <v>1.0402106425211237</v>
      </c>
      <c r="J67" s="2">
        <v>931.18375972934416</v>
      </c>
      <c r="K67" s="2">
        <v>931.14751091743028</v>
      </c>
      <c r="L67">
        <v>923.19383155445507</v>
      </c>
      <c r="M67" s="2">
        <v>103.12453633041579</v>
      </c>
      <c r="N67" s="2">
        <v>103.57793150735067</v>
      </c>
      <c r="O67">
        <v>112.16137855136498</v>
      </c>
      <c r="P67">
        <v>0.70001376991594644</v>
      </c>
      <c r="Q67">
        <v>0.70001376991594644</v>
      </c>
      <c r="R67">
        <v>0.85049536224535927</v>
      </c>
    </row>
    <row r="68" spans="1:25" outlineLevel="1" x14ac:dyDescent="0.25">
      <c r="A68" s="44">
        <v>10</v>
      </c>
      <c r="B68" s="46">
        <f t="shared" si="1"/>
        <v>15.928402418740383</v>
      </c>
      <c r="C68" s="2">
        <v>15.928402418740383</v>
      </c>
      <c r="D68" s="2">
        <v>17.207473010504781</v>
      </c>
      <c r="E68" s="2">
        <v>17.064153623376537</v>
      </c>
      <c r="F68">
        <v>14.760792971500184</v>
      </c>
      <c r="G68" s="2">
        <v>1.0355271932860772</v>
      </c>
      <c r="H68" s="10">
        <v>1.03538383994997</v>
      </c>
      <c r="I68">
        <v>1.0419485770730039</v>
      </c>
      <c r="J68" s="2">
        <v>930.84965711078667</v>
      </c>
      <c r="K68" s="2">
        <v>930.82633864565673</v>
      </c>
      <c r="L68">
        <v>922.53106904392382</v>
      </c>
      <c r="M68" s="2">
        <v>99.718923698966066</v>
      </c>
      <c r="N68" s="2">
        <v>100.21921300172625</v>
      </c>
      <c r="O68">
        <v>108.79747933087897</v>
      </c>
      <c r="P68">
        <v>0.65740704434178787</v>
      </c>
      <c r="Q68">
        <v>0.65740704434178787</v>
      </c>
      <c r="R68">
        <v>0.83629166255466625</v>
      </c>
    </row>
    <row r="69" spans="1:25" outlineLevel="1" x14ac:dyDescent="0.25">
      <c r="A69" s="44">
        <v>11</v>
      </c>
      <c r="B69" s="46">
        <f t="shared" si="1"/>
        <v>17.587113798600427</v>
      </c>
      <c r="C69" s="2">
        <v>17.587113798600427</v>
      </c>
      <c r="D69" s="2">
        <v>18.112221920637406</v>
      </c>
      <c r="E69" s="2">
        <v>17.95008683455066</v>
      </c>
      <c r="F69">
        <v>15.547117265925076</v>
      </c>
      <c r="G69" s="2">
        <v>1.0369441007836611</v>
      </c>
      <c r="H69" s="10">
        <v>1.036763956995461</v>
      </c>
      <c r="I69">
        <v>1.0435895009864908</v>
      </c>
      <c r="J69" s="2">
        <v>930.53707585507527</v>
      </c>
      <c r="K69" s="2">
        <v>930.52681130331496</v>
      </c>
      <c r="L69">
        <v>921.90896989472185</v>
      </c>
      <c r="M69" s="2">
        <v>96.6444458751794</v>
      </c>
      <c r="N69" s="2">
        <v>97.184982540880895</v>
      </c>
      <c r="O69">
        <v>105.75073652257889</v>
      </c>
      <c r="P69">
        <v>0.6122902316674339</v>
      </c>
      <c r="Q69">
        <v>0.6122902316674339</v>
      </c>
      <c r="R69">
        <v>0.82220624775894413</v>
      </c>
    </row>
    <row r="70" spans="1:25" outlineLevel="1" x14ac:dyDescent="0.25">
      <c r="A70" s="44">
        <v>12</v>
      </c>
      <c r="B70" s="46">
        <f t="shared" si="1"/>
        <v>19.245825178460471</v>
      </c>
      <c r="C70" s="2">
        <v>19.245825178460471</v>
      </c>
      <c r="D70" s="2">
        <v>18.973927654716533</v>
      </c>
      <c r="E70" s="2">
        <v>18.793686500947196</v>
      </c>
      <c r="F70">
        <v>16.295248520509784</v>
      </c>
      <c r="G70" s="2">
        <v>1.0382905467899719</v>
      </c>
      <c r="H70" s="10">
        <v>1.038074261147625</v>
      </c>
      <c r="I70">
        <v>1.0451477538028071</v>
      </c>
      <c r="J70" s="2">
        <v>930.24289362962634</v>
      </c>
      <c r="K70" s="2">
        <v>930.2458005757826</v>
      </c>
      <c r="L70">
        <v>921.32151755782672</v>
      </c>
      <c r="M70" s="2">
        <v>93.845043148717409</v>
      </c>
      <c r="N70" s="2">
        <v>94.420559231218149</v>
      </c>
      <c r="O70">
        <v>102.96782372482667</v>
      </c>
      <c r="P70">
        <v>0.56464778641304303</v>
      </c>
      <c r="Q70">
        <v>0.56464778641304303</v>
      </c>
      <c r="R70">
        <v>0.80825077917220012</v>
      </c>
    </row>
    <row r="71" spans="1:25" outlineLevel="1" x14ac:dyDescent="0.25">
      <c r="A71" s="44">
        <v>13</v>
      </c>
      <c r="B71" s="46">
        <f t="shared" si="1"/>
        <v>20.904536558320515</v>
      </c>
      <c r="C71" s="2">
        <v>20.904536558320515</v>
      </c>
      <c r="D71" s="2">
        <v>19.798317319372387</v>
      </c>
      <c r="E71" s="2">
        <v>19.600564795947921</v>
      </c>
      <c r="F71">
        <v>17.010339655736647</v>
      </c>
      <c r="G71" s="2">
        <v>1.0395758755171738</v>
      </c>
      <c r="H71" s="10">
        <v>1.0393239736758502</v>
      </c>
      <c r="I71">
        <v>1.0466344603222957</v>
      </c>
      <c r="J71" s="2">
        <v>929.96467752891647</v>
      </c>
      <c r="K71" s="2">
        <v>929.98086591962101</v>
      </c>
      <c r="L71">
        <v>920.7640444639228</v>
      </c>
      <c r="M71" s="2">
        <v>91.277883887942153</v>
      </c>
      <c r="N71" s="2">
        <v>91.88411262110985</v>
      </c>
      <c r="O71">
        <v>100.40802370532509</v>
      </c>
      <c r="P71">
        <v>0.51446976977508418</v>
      </c>
      <c r="Q71">
        <v>0.51446976977508418</v>
      </c>
      <c r="R71">
        <v>0.79443521668643791</v>
      </c>
    </row>
    <row r="72" spans="1:25" outlineLevel="1" x14ac:dyDescent="0.25">
      <c r="A72" s="44">
        <v>14</v>
      </c>
      <c r="B72" s="46">
        <f t="shared" si="1"/>
        <v>22.56324793818056</v>
      </c>
      <c r="C72" s="2">
        <v>22.56324793818056</v>
      </c>
      <c r="D72" s="2">
        <v>20.58995362910143</v>
      </c>
      <c r="E72" s="2">
        <v>20.37519699966797</v>
      </c>
      <c r="F72">
        <v>17.696482620388867</v>
      </c>
      <c r="G72" s="2">
        <v>1.040807533257168</v>
      </c>
      <c r="H72" s="10">
        <v>1.0405204501080931</v>
      </c>
      <c r="I72">
        <v>1.0480584564793169</v>
      </c>
      <c r="J72" s="2">
        <v>929.70048812542234</v>
      </c>
      <c r="K72" s="2">
        <v>929.73005985278564</v>
      </c>
      <c r="L72">
        <v>920.23284347654067</v>
      </c>
      <c r="M72" s="2">
        <v>88.909466459470437</v>
      </c>
      <c r="N72" s="2">
        <v>89.542890055295857</v>
      </c>
      <c r="O72">
        <v>98.039491770782988</v>
      </c>
      <c r="P72">
        <v>0.46175306138714567</v>
      </c>
      <c r="Q72">
        <v>0.46175306138714567</v>
      </c>
      <c r="R72">
        <v>0.78076804883789996</v>
      </c>
    </row>
    <row r="73" spans="1:25" outlineLevel="1" x14ac:dyDescent="0.25">
      <c r="A73" s="44">
        <v>15</v>
      </c>
      <c r="B73" s="46">
        <f t="shared" si="1"/>
        <v>24.221959318040604</v>
      </c>
      <c r="C73" s="2">
        <v>24.221959318040604</v>
      </c>
      <c r="D73" s="2">
        <v>21.352541253777321</v>
      </c>
      <c r="E73" s="2">
        <v>21.121219570655654</v>
      </c>
      <c r="F73">
        <v>18.356990800967885</v>
      </c>
      <c r="G73" s="2">
        <v>1.0419915674985207</v>
      </c>
      <c r="H73" s="10">
        <v>1.041669669131867</v>
      </c>
      <c r="I73">
        <v>1.0494268983858634</v>
      </c>
      <c r="J73" s="2">
        <v>929.44874977228699</v>
      </c>
      <c r="K73" s="2">
        <v>929.49179883623322</v>
      </c>
      <c r="L73">
        <v>919.72491231161484</v>
      </c>
      <c r="M73" s="2">
        <v>86.713069350552843</v>
      </c>
      <c r="N73" s="2">
        <v>87.370744284208783</v>
      </c>
      <c r="O73">
        <v>95.836820658857249</v>
      </c>
      <c r="P73">
        <v>0.40650247920415289</v>
      </c>
      <c r="Q73">
        <v>0.40650247920415289</v>
      </c>
      <c r="R73">
        <v>0.7672564846620693</v>
      </c>
    </row>
    <row r="74" spans="1:25" outlineLevel="1" x14ac:dyDescent="0.25">
      <c r="A74" s="44">
        <v>16</v>
      </c>
      <c r="B74" s="46">
        <f t="shared" si="1"/>
        <v>25.880670697900648</v>
      </c>
      <c r="C74" s="2">
        <v>25.880670697900648</v>
      </c>
      <c r="D74" s="2">
        <v>22.089136789267219</v>
      </c>
      <c r="E74" s="2">
        <v>21.841634754863986</v>
      </c>
      <c r="F74">
        <v>18.994591617847586</v>
      </c>
      <c r="G74" s="2">
        <v>1.0431329690618645</v>
      </c>
      <c r="H74" s="10">
        <v>1.0427765682442676</v>
      </c>
      <c r="I74">
        <v>1.050745677723117</v>
      </c>
      <c r="J74" s="2">
        <v>929.20816168395686</v>
      </c>
      <c r="K74" s="2">
        <v>929.26477461375623</v>
      </c>
      <c r="L74">
        <v>919.23777922605291</v>
      </c>
      <c r="M74" s="2">
        <v>84.667022973398659</v>
      </c>
      <c r="N74" s="2">
        <v>85.346455205366681</v>
      </c>
      <c r="O74">
        <v>93.779394781096684</v>
      </c>
      <c r="P74">
        <v>0.34873182155349686</v>
      </c>
      <c r="Q74">
        <v>0.34873182155349686</v>
      </c>
      <c r="R74">
        <v>0.75390661446784413</v>
      </c>
    </row>
    <row r="75" spans="1:25" outlineLevel="1" x14ac:dyDescent="0.25">
      <c r="A75" s="44">
        <v>17</v>
      </c>
      <c r="B75" s="46">
        <f t="shared" si="1"/>
        <v>27.539382077760692</v>
      </c>
      <c r="C75" s="2">
        <v>27.539382077760692</v>
      </c>
      <c r="D75" s="2">
        <v>22.802296991875128</v>
      </c>
      <c r="E75" s="2">
        <v>22.538955219559924</v>
      </c>
      <c r="F75">
        <v>19.611561918043069</v>
      </c>
      <c r="G75" s="2">
        <v>1.0442359136678439</v>
      </c>
      <c r="H75" s="10">
        <v>1.0438452810494141</v>
      </c>
      <c r="I75">
        <v>1.0520197137836336</v>
      </c>
      <c r="J75" s="2">
        <v>928.97763514389339</v>
      </c>
      <c r="K75" s="2">
        <v>929.04789152048158</v>
      </c>
      <c r="L75">
        <v>918.76938047050385</v>
      </c>
      <c r="M75" s="2">
        <v>82.753502890803603</v>
      </c>
      <c r="N75" s="2">
        <v>83.452556431745407</v>
      </c>
      <c r="O75">
        <v>91.850243448452829</v>
      </c>
      <c r="P75">
        <v>0.28846483524202443</v>
      </c>
      <c r="Q75">
        <v>0.28846483524202443</v>
      </c>
      <c r="R75">
        <v>0.74072354560576559</v>
      </c>
    </row>
    <row r="76" spans="1:25" outlineLevel="1" x14ac:dyDescent="0.25">
      <c r="A76" s="44">
        <v>18</v>
      </c>
      <c r="B76" s="46">
        <f t="shared" si="1"/>
        <v>29.198093457620736</v>
      </c>
      <c r="C76" s="2">
        <v>29.198093457620736</v>
      </c>
      <c r="D76" s="2">
        <v>23.494186102583214</v>
      </c>
      <c r="E76" s="2">
        <v>23.215308884781798</v>
      </c>
      <c r="F76">
        <v>20.209825645498825</v>
      </c>
      <c r="G76" s="2">
        <v>1.0453039368565122</v>
      </c>
      <c r="H76" s="10">
        <v>1.0448793092767603</v>
      </c>
      <c r="I76">
        <v>1.0532531641652474</v>
      </c>
      <c r="J76" s="2">
        <v>928.75624802955122</v>
      </c>
      <c r="K76" s="2">
        <v>928.84022102979361</v>
      </c>
      <c r="L76">
        <v>918.31797187959421</v>
      </c>
      <c r="M76" s="2">
        <v>80.957665404680952</v>
      </c>
      <c r="N76" s="2">
        <v>81.674493822987358</v>
      </c>
      <c r="O76">
        <v>90.035220733170647</v>
      </c>
      <c r="P76">
        <v>0.22573610672121452</v>
      </c>
      <c r="Q76">
        <v>0.22573610672121452</v>
      </c>
      <c r="R76">
        <v>0.72771151809308299</v>
      </c>
    </row>
    <row r="77" spans="1:25" outlineLevel="1" x14ac:dyDescent="0.25">
      <c r="A77" s="44">
        <v>19</v>
      </c>
      <c r="B77" s="46">
        <f t="shared" si="1"/>
        <v>30.85680483748078</v>
      </c>
      <c r="C77" s="2">
        <v>30.85680483748078</v>
      </c>
      <c r="D77" s="2">
        <v>24.166655263079775</v>
      </c>
      <c r="E77" s="2">
        <v>23.872516567601064</v>
      </c>
      <c r="F77">
        <v>20.791025885404057</v>
      </c>
      <c r="G77" s="2">
        <v>1.0463400633932323</v>
      </c>
      <c r="H77" s="10">
        <v>1.0458816502052759</v>
      </c>
      <c r="I77">
        <v>1.0544495801986293</v>
      </c>
      <c r="J77" s="2">
        <v>928.54321119144697</v>
      </c>
      <c r="K77" s="2">
        <v>928.64096807793385</v>
      </c>
      <c r="L77">
        <v>917.88206365396809</v>
      </c>
      <c r="M77" s="2">
        <v>79.267014602901298</v>
      </c>
      <c r="N77" s="2">
        <v>80.000008732416191</v>
      </c>
      <c r="O77">
        <v>88.322405626138575</v>
      </c>
      <c r="P77">
        <v>0.16059186852120719</v>
      </c>
      <c r="Q77">
        <v>0.16059186852120719</v>
      </c>
      <c r="R77">
        <v>0.71487400390643085</v>
      </c>
    </row>
    <row r="78" spans="1:25" outlineLevel="1" x14ac:dyDescent="0.25">
      <c r="A78" s="44">
        <v>20</v>
      </c>
      <c r="B78" s="46">
        <f t="shared" si="1"/>
        <v>32.515516217340824</v>
      </c>
      <c r="C78" s="2">
        <v>32.515516217340824</v>
      </c>
      <c r="D78" s="2">
        <v>24.821302408368908</v>
      </c>
      <c r="E78" s="2">
        <v>24.512150586341786</v>
      </c>
      <c r="F78">
        <v>21.356579046957599</v>
      </c>
      <c r="G78" s="2">
        <v>1.0473469050679545</v>
      </c>
      <c r="H78" s="10">
        <v>1.0468548928063519</v>
      </c>
      <c r="I78">
        <v>1.0556120238508528</v>
      </c>
      <c r="J78" s="2">
        <v>928.33784291747065</v>
      </c>
      <c r="K78" s="2">
        <v>928.44944568071367</v>
      </c>
      <c r="L78">
        <v>917.46037130810271</v>
      </c>
      <c r="M78" s="2">
        <v>77.670929898842545</v>
      </c>
      <c r="N78" s="2">
        <v>78.418677245800922</v>
      </c>
      <c r="O78">
        <v>86.701654655727538</v>
      </c>
      <c r="P78">
        <v>9.3090709827697654E-2</v>
      </c>
      <c r="Q78">
        <v>9.3090709827697654E-2</v>
      </c>
      <c r="R78">
        <v>0.7022137929145873</v>
      </c>
    </row>
    <row r="79" spans="1:25" outlineLevel="1" x14ac:dyDescent="0.25">
      <c r="A79" s="44">
        <v>21</v>
      </c>
      <c r="B79" s="47">
        <f>G23</f>
        <v>34.174227597200854</v>
      </c>
      <c r="C79" s="2">
        <v>34.174227597200854</v>
      </c>
      <c r="D79" s="2">
        <v>25.459518197674146</v>
      </c>
      <c r="E79" s="2">
        <v>25.135579735624706</v>
      </c>
      <c r="F79">
        <v>21.907716313782306</v>
      </c>
      <c r="G79" s="2">
        <v>1.0483267353464176</v>
      </c>
      <c r="H79" s="10">
        <v>1.0482105461915308</v>
      </c>
      <c r="I79">
        <v>1.0567431571656989</v>
      </c>
      <c r="J79" s="2">
        <v>928.13954966279164</v>
      </c>
      <c r="K79" s="2">
        <v>927.90263131829761</v>
      </c>
      <c r="L79">
        <v>917.05177814228193</v>
      </c>
      <c r="M79" s="2">
        <v>76.160307350498499</v>
      </c>
      <c r="N79" s="2">
        <v>76.925767607998267</v>
      </c>
      <c r="O79">
        <v>85.164262430135921</v>
      </c>
      <c r="P79">
        <v>2.330417784551855E-2</v>
      </c>
      <c r="Q79">
        <v>2.330417784551855E-2</v>
      </c>
      <c r="R79">
        <v>0.68973306777676247</v>
      </c>
    </row>
    <row r="80" spans="1:25" outlineLevel="1" x14ac:dyDescent="0.25">
      <c r="A80" s="44">
        <v>22</v>
      </c>
      <c r="B80" s="46">
        <f t="shared" ref="B80:B98" si="2">($B$99-$B$79)/($A$99-$A$79)+B79</f>
        <v>47.465516217340813</v>
      </c>
      <c r="C80" s="2">
        <v>47.465516217340813</v>
      </c>
      <c r="D80" s="2">
        <v>29</v>
      </c>
      <c r="E80" s="2">
        <v>25.375129226076385</v>
      </c>
      <c r="F80">
        <v>25.910781133033364</v>
      </c>
      <c r="G80" s="2">
        <v>1.0537747782911695</v>
      </c>
      <c r="H80" s="10">
        <v>1.0485020714136914</v>
      </c>
      <c r="I80">
        <v>1.0649085475139</v>
      </c>
      <c r="J80" s="2">
        <v>927.03525470987836</v>
      </c>
      <c r="K80" s="2">
        <v>927.89584528544549</v>
      </c>
      <c r="L80">
        <v>914.15331715749744</v>
      </c>
      <c r="M80" s="2">
        <v>70.229011761453691</v>
      </c>
      <c r="N80" s="2">
        <v>83.824522211790281</v>
      </c>
      <c r="O80">
        <v>75.118305452494198</v>
      </c>
      <c r="P80">
        <v>0</v>
      </c>
      <c r="Q80">
        <v>0</v>
      </c>
      <c r="R80">
        <v>0.34136183895570577</v>
      </c>
      <c r="Y80" t="s">
        <v>355</v>
      </c>
    </row>
    <row r="81" spans="1:18" outlineLevel="1" x14ac:dyDescent="0.25">
      <c r="A81" s="44">
        <v>23</v>
      </c>
      <c r="B81" s="46">
        <f t="shared" si="2"/>
        <v>60.756804837480772</v>
      </c>
      <c r="C81" s="2">
        <v>60.756804837480772</v>
      </c>
      <c r="D81" s="2">
        <v>29</v>
      </c>
      <c r="E81" s="2">
        <v>25.375129226076385</v>
      </c>
      <c r="F81">
        <v>29</v>
      </c>
      <c r="G81" s="2">
        <v>1.0537694472533639</v>
      </c>
      <c r="H81" s="10">
        <v>1.0486660828996739</v>
      </c>
      <c r="I81">
        <v>1.0712085414143271</v>
      </c>
      <c r="J81" s="2">
        <v>927.03994459721844</v>
      </c>
      <c r="K81" s="2">
        <v>927.75072227736518</v>
      </c>
      <c r="L81">
        <v>911.94789084691888</v>
      </c>
      <c r="M81" s="2">
        <v>75.780462024390474</v>
      </c>
      <c r="N81" s="2">
        <v>91.287343305797734</v>
      </c>
      <c r="O81">
        <v>69.314755307626413</v>
      </c>
      <c r="P81">
        <v>0</v>
      </c>
      <c r="Q81">
        <v>0</v>
      </c>
      <c r="R81">
        <v>0.16295321673883853</v>
      </c>
    </row>
    <row r="82" spans="1:18" outlineLevel="1" x14ac:dyDescent="0.25">
      <c r="A82" s="44">
        <v>24</v>
      </c>
      <c r="B82" s="46">
        <f t="shared" si="2"/>
        <v>74.048093457620723</v>
      </c>
      <c r="C82" s="2">
        <v>74.048093457620723</v>
      </c>
      <c r="D82" s="2">
        <v>29</v>
      </c>
      <c r="E82" s="2">
        <v>25.375129226076385</v>
      </c>
      <c r="F82">
        <v>29</v>
      </c>
      <c r="G82" s="2">
        <v>1.0537660300227607</v>
      </c>
      <c r="H82" s="10">
        <v>1.048771229279998</v>
      </c>
      <c r="I82">
        <v>1.071203879937088</v>
      </c>
      <c r="J82" s="2">
        <v>927.04295087107698</v>
      </c>
      <c r="K82" s="2">
        <v>927.6577090180698</v>
      </c>
      <c r="L82">
        <v>911.95185930186574</v>
      </c>
      <c r="M82" s="2">
        <v>81.331912287327228</v>
      </c>
      <c r="N82" s="2">
        <v>98.7501643998052</v>
      </c>
      <c r="O82">
        <v>73.451753735323265</v>
      </c>
      <c r="P82">
        <v>0</v>
      </c>
      <c r="Q82">
        <v>0</v>
      </c>
      <c r="R82">
        <v>6.7484037435745658E-2</v>
      </c>
    </row>
    <row r="83" spans="1:18" outlineLevel="1" x14ac:dyDescent="0.25">
      <c r="A83" s="44">
        <v>25</v>
      </c>
      <c r="B83" s="46">
        <f t="shared" si="2"/>
        <v>87.339382077760675</v>
      </c>
      <c r="C83" s="2">
        <v>87.339382077760675</v>
      </c>
      <c r="D83" s="2">
        <v>29</v>
      </c>
      <c r="E83" s="2">
        <v>25.375129226076385</v>
      </c>
      <c r="F83">
        <v>29</v>
      </c>
      <c r="G83" s="2">
        <v>1.0537636528655483</v>
      </c>
      <c r="H83" s="10">
        <v>1.0488443795704405</v>
      </c>
      <c r="I83">
        <v>1.0712006372370457</v>
      </c>
      <c r="J83" s="2">
        <v>927.04504216245039</v>
      </c>
      <c r="K83" s="2">
        <v>927.59301073473273</v>
      </c>
      <c r="L83">
        <v>911.95461992973503</v>
      </c>
      <c r="M83" s="2">
        <v>86.883362550263996</v>
      </c>
      <c r="N83" s="2">
        <v>106.21298549381265</v>
      </c>
      <c r="O83">
        <v>77.588752163020104</v>
      </c>
      <c r="P83">
        <v>0</v>
      </c>
      <c r="Q83">
        <v>0</v>
      </c>
      <c r="R83">
        <v>1.340278531692151E-2</v>
      </c>
    </row>
    <row r="84" spans="1:18" outlineLevel="1" x14ac:dyDescent="0.25">
      <c r="A84" s="44">
        <v>26</v>
      </c>
      <c r="B84" s="46">
        <f t="shared" si="2"/>
        <v>100.63067069790063</v>
      </c>
      <c r="C84" s="2">
        <v>100.63067069790063</v>
      </c>
      <c r="D84" s="2">
        <v>29</v>
      </c>
      <c r="E84" s="2">
        <v>25.375129226076385</v>
      </c>
      <c r="F84">
        <v>29</v>
      </c>
      <c r="G84" s="2">
        <v>1.0537619036611203</v>
      </c>
      <c r="H84" s="10">
        <v>1.0488982097536865</v>
      </c>
      <c r="I84">
        <v>1.0711982511342475</v>
      </c>
      <c r="J84" s="2">
        <v>927.04658102173823</v>
      </c>
      <c r="K84" s="2">
        <v>927.5454060183921</v>
      </c>
      <c r="L84">
        <v>911.95665131605233</v>
      </c>
      <c r="M84" s="2">
        <v>92.434812813200764</v>
      </c>
      <c r="N84" s="2">
        <v>113.67580658782011</v>
      </c>
      <c r="O84">
        <v>81.725750590716956</v>
      </c>
      <c r="P84">
        <v>0</v>
      </c>
      <c r="Q84">
        <v>0</v>
      </c>
      <c r="R84">
        <v>0</v>
      </c>
    </row>
    <row r="85" spans="1:18" outlineLevel="1" x14ac:dyDescent="0.25">
      <c r="A85" s="44">
        <v>27</v>
      </c>
      <c r="B85" s="46">
        <f t="shared" si="2"/>
        <v>113.92195931804058</v>
      </c>
      <c r="C85" s="2">
        <v>113.92195931804058</v>
      </c>
      <c r="D85" s="2">
        <v>29</v>
      </c>
      <c r="E85" s="2">
        <v>25.375129226076385</v>
      </c>
      <c r="F85">
        <v>29</v>
      </c>
      <c r="G85" s="2">
        <v>1.0537605626184383</v>
      </c>
      <c r="H85" s="10">
        <v>1.0489394810600563</v>
      </c>
      <c r="I85">
        <v>1.0711964218088463</v>
      </c>
      <c r="J85" s="2">
        <v>927.04776080496174</v>
      </c>
      <c r="K85" s="2">
        <v>927.50891105246228</v>
      </c>
      <c r="L85">
        <v>911.95820870126477</v>
      </c>
      <c r="M85" s="2">
        <v>97.986263076137533</v>
      </c>
      <c r="N85" s="2">
        <v>121.13862768182756</v>
      </c>
      <c r="O85">
        <v>85.862749018413794</v>
      </c>
      <c r="P85">
        <v>0</v>
      </c>
      <c r="Q85">
        <v>0</v>
      </c>
      <c r="R85">
        <v>0</v>
      </c>
    </row>
    <row r="86" spans="1:18" outlineLevel="1" x14ac:dyDescent="0.25">
      <c r="A86" s="44">
        <v>28</v>
      </c>
      <c r="B86" s="46">
        <f t="shared" si="2"/>
        <v>127.21324793818053</v>
      </c>
      <c r="C86" s="2">
        <v>127.21324793818053</v>
      </c>
      <c r="D86" s="2">
        <v>29</v>
      </c>
      <c r="E86" s="2">
        <v>25.375129226076385</v>
      </c>
      <c r="F86">
        <v>29</v>
      </c>
      <c r="G86" s="2">
        <v>1.0537595018022663</v>
      </c>
      <c r="H86" s="10">
        <v>1.0489721294331569</v>
      </c>
      <c r="I86">
        <v>1.0711949747428884</v>
      </c>
      <c r="J86" s="2">
        <v>927.0486940608472</v>
      </c>
      <c r="K86" s="2">
        <v>927.48004311962359</v>
      </c>
      <c r="L86">
        <v>911.95944065596029</v>
      </c>
      <c r="M86" s="2">
        <v>103.5377133390743</v>
      </c>
      <c r="N86" s="2">
        <v>128.60144877583502</v>
      </c>
      <c r="O86">
        <v>89.999747446110632</v>
      </c>
      <c r="P86">
        <v>0</v>
      </c>
      <c r="Q86">
        <v>0</v>
      </c>
      <c r="R86">
        <v>0</v>
      </c>
    </row>
    <row r="87" spans="1:18" outlineLevel="1" x14ac:dyDescent="0.25">
      <c r="A87" s="44">
        <v>29</v>
      </c>
      <c r="B87" s="46">
        <f t="shared" si="2"/>
        <v>140.5045365583205</v>
      </c>
      <c r="C87" s="2">
        <v>140.5045365583205</v>
      </c>
      <c r="D87" s="2">
        <v>29</v>
      </c>
      <c r="E87" s="2">
        <v>25.375129226076385</v>
      </c>
      <c r="F87">
        <v>29</v>
      </c>
      <c r="G87" s="2">
        <v>1.0537586416866458</v>
      </c>
      <c r="H87" s="10">
        <v>1.048998601684785</v>
      </c>
      <c r="I87">
        <v>1.0711938014541704</v>
      </c>
      <c r="J87" s="2">
        <v>927.04945075126113</v>
      </c>
      <c r="K87" s="2">
        <v>927.4566374782413</v>
      </c>
      <c r="L87">
        <v>911.96043953377443</v>
      </c>
      <c r="M87" s="2">
        <v>109.08916360201107</v>
      </c>
      <c r="N87" s="2">
        <v>136.06426986984246</v>
      </c>
      <c r="O87">
        <v>94.136745873807484</v>
      </c>
      <c r="P87">
        <v>0</v>
      </c>
      <c r="Q87">
        <v>0</v>
      </c>
      <c r="R87">
        <v>0</v>
      </c>
    </row>
    <row r="88" spans="1:18" outlineLevel="1" x14ac:dyDescent="0.25">
      <c r="A88" s="44">
        <v>30</v>
      </c>
      <c r="B88" s="46">
        <f t="shared" si="2"/>
        <v>153.79582517846046</v>
      </c>
      <c r="C88" s="2">
        <v>153.79582517846046</v>
      </c>
      <c r="D88" s="2">
        <v>29</v>
      </c>
      <c r="E88" s="2">
        <v>25.375129226076385</v>
      </c>
      <c r="F88">
        <v>29</v>
      </c>
      <c r="G88" s="2">
        <v>1.0537579302367739</v>
      </c>
      <c r="H88" s="10">
        <v>1.0490204988900416</v>
      </c>
      <c r="I88">
        <v>1.071192830961512</v>
      </c>
      <c r="J88" s="2">
        <v>927.05007665327719</v>
      </c>
      <c r="K88" s="2">
        <v>927.43727779139169</v>
      </c>
      <c r="L88">
        <v>911.96126576308234</v>
      </c>
      <c r="M88" s="2">
        <v>114.64061386494785</v>
      </c>
      <c r="N88" s="2">
        <v>143.52709096384996</v>
      </c>
      <c r="O88">
        <v>98.273744301504337</v>
      </c>
      <c r="P88">
        <v>0</v>
      </c>
      <c r="Q88">
        <v>0</v>
      </c>
      <c r="R88">
        <v>0</v>
      </c>
    </row>
    <row r="89" spans="1:18" outlineLevel="1" x14ac:dyDescent="0.25">
      <c r="A89" s="44">
        <v>31</v>
      </c>
      <c r="B89" s="46">
        <f t="shared" si="2"/>
        <v>167.08711379860043</v>
      </c>
      <c r="C89" s="2">
        <v>167.08711379860043</v>
      </c>
      <c r="D89" s="2">
        <v>29</v>
      </c>
      <c r="E89" s="2">
        <v>25.375129226076385</v>
      </c>
      <c r="F89">
        <v>29</v>
      </c>
      <c r="G89" s="2">
        <v>1.0537573319747648</v>
      </c>
      <c r="H89" s="10">
        <v>1.0490389127325044</v>
      </c>
      <c r="I89">
        <v>1.0711920148692091</v>
      </c>
      <c r="J89" s="2">
        <v>927.05060297829004</v>
      </c>
      <c r="K89" s="2">
        <v>927.42099842966343</v>
      </c>
      <c r="L89">
        <v>911.96196054474535</v>
      </c>
      <c r="M89" s="2">
        <v>120.19206412788462</v>
      </c>
      <c r="N89" s="2">
        <v>150.9899120578574</v>
      </c>
      <c r="O89">
        <v>102.41074272920119</v>
      </c>
      <c r="P89">
        <v>0</v>
      </c>
      <c r="Q89">
        <v>0</v>
      </c>
      <c r="R89">
        <v>0</v>
      </c>
    </row>
    <row r="90" spans="1:18" outlineLevel="1" x14ac:dyDescent="0.25">
      <c r="A90" s="44">
        <v>32</v>
      </c>
      <c r="B90" s="46">
        <f t="shared" si="2"/>
        <v>180.37840241874039</v>
      </c>
      <c r="C90" s="2">
        <v>180.37840241874039</v>
      </c>
      <c r="D90" s="2">
        <v>29</v>
      </c>
      <c r="E90" s="2">
        <v>25.375129226076385</v>
      </c>
      <c r="F90">
        <v>29</v>
      </c>
      <c r="G90" s="2">
        <v>1.0537568218795996</v>
      </c>
      <c r="H90" s="10">
        <v>1.0490546131606371</v>
      </c>
      <c r="I90">
        <v>1.0711913190458795</v>
      </c>
      <c r="J90" s="2">
        <v>927.05105173840309</v>
      </c>
      <c r="K90" s="2">
        <v>927.40711840230165</v>
      </c>
      <c r="L90">
        <v>911.96255293603588</v>
      </c>
      <c r="M90" s="2">
        <v>125.7435143908214</v>
      </c>
      <c r="N90" s="2">
        <v>158.45273315186489</v>
      </c>
      <c r="O90">
        <v>106.54774115689804</v>
      </c>
      <c r="P90">
        <v>0</v>
      </c>
      <c r="Q90">
        <v>0</v>
      </c>
      <c r="R90">
        <v>0</v>
      </c>
    </row>
    <row r="91" spans="1:18" outlineLevel="1" x14ac:dyDescent="0.25">
      <c r="A91" s="44">
        <v>33</v>
      </c>
      <c r="B91" s="46">
        <f t="shared" si="2"/>
        <v>193.66969103888036</v>
      </c>
      <c r="C91" s="2">
        <v>193.66969103888036</v>
      </c>
      <c r="D91" s="2">
        <v>29</v>
      </c>
      <c r="E91" s="2">
        <v>25.375129226076385</v>
      </c>
      <c r="F91">
        <v>29</v>
      </c>
      <c r="G91" s="2">
        <v>1.0537563817989137</v>
      </c>
      <c r="H91" s="10">
        <v>1.0490681587793433</v>
      </c>
      <c r="I91">
        <v>1.0711907187297385</v>
      </c>
      <c r="J91" s="2">
        <v>927.05143890309296</v>
      </c>
      <c r="K91" s="2">
        <v>927.39514367682148</v>
      </c>
      <c r="L91">
        <v>911.96306401761171</v>
      </c>
      <c r="M91" s="2">
        <v>131.29496465375817</v>
      </c>
      <c r="N91" s="2">
        <v>165.91555424587233</v>
      </c>
      <c r="O91">
        <v>110.68473958459489</v>
      </c>
      <c r="P91">
        <v>0</v>
      </c>
      <c r="Q91">
        <v>0</v>
      </c>
      <c r="R91">
        <v>0</v>
      </c>
    </row>
    <row r="92" spans="1:18" outlineLevel="1" x14ac:dyDescent="0.25">
      <c r="A92" s="44">
        <v>34</v>
      </c>
      <c r="B92" s="46">
        <f t="shared" si="2"/>
        <v>206.96097965902032</v>
      </c>
      <c r="C92" s="2">
        <v>206.96097965902032</v>
      </c>
      <c r="D92" s="2">
        <v>29</v>
      </c>
      <c r="E92" s="2">
        <v>25.375129226076385</v>
      </c>
      <c r="F92">
        <v>29</v>
      </c>
      <c r="G92" s="2">
        <v>1.0537559982434233</v>
      </c>
      <c r="H92" s="10">
        <v>1.0490799647081168</v>
      </c>
      <c r="I92">
        <v>1.0711901955199536</v>
      </c>
      <c r="J92" s="2">
        <v>927.05177633952974</v>
      </c>
      <c r="K92" s="2">
        <v>927.38470714063794</v>
      </c>
      <c r="L92">
        <v>911.9635094548463</v>
      </c>
      <c r="M92" s="2">
        <v>136.84641491669493</v>
      </c>
      <c r="N92" s="2">
        <v>173.3783753398798</v>
      </c>
      <c r="O92">
        <v>114.82173801229175</v>
      </c>
      <c r="P92">
        <v>0</v>
      </c>
      <c r="Q92">
        <v>0</v>
      </c>
      <c r="R92">
        <v>0</v>
      </c>
    </row>
    <row r="93" spans="1:18" outlineLevel="1" x14ac:dyDescent="0.25">
      <c r="A93" s="44">
        <v>35</v>
      </c>
      <c r="B93" s="46">
        <f t="shared" si="2"/>
        <v>220.25226827916029</v>
      </c>
      <c r="C93" s="2">
        <v>220.25226827916029</v>
      </c>
      <c r="D93" s="2">
        <v>29</v>
      </c>
      <c r="E93" s="2">
        <v>25.375129226076385</v>
      </c>
      <c r="F93">
        <v>29</v>
      </c>
      <c r="G93" s="2">
        <v>1.0537556609799366</v>
      </c>
      <c r="H93" s="10">
        <v>1.0490903458713814</v>
      </c>
      <c r="I93">
        <v>1.071189735457355</v>
      </c>
      <c r="J93" s="2">
        <v>927.05207305035754</v>
      </c>
      <c r="K93" s="2">
        <v>927.37553030273091</v>
      </c>
      <c r="L93">
        <v>911.96390113177176</v>
      </c>
      <c r="M93" s="2">
        <v>142.39786517963171</v>
      </c>
      <c r="N93" s="2">
        <v>180.84119643388726</v>
      </c>
      <c r="O93">
        <v>118.9587364399886</v>
      </c>
      <c r="P93">
        <v>0</v>
      </c>
      <c r="Q93">
        <v>0</v>
      </c>
      <c r="R93">
        <v>0</v>
      </c>
    </row>
    <row r="94" spans="1:18" outlineLevel="1" x14ac:dyDescent="0.25">
      <c r="A94" s="44">
        <v>36</v>
      </c>
      <c r="B94" s="46">
        <f t="shared" si="2"/>
        <v>233.54355689930026</v>
      </c>
      <c r="C94" s="2">
        <v>233.54355689930026</v>
      </c>
      <c r="D94" s="2">
        <v>29</v>
      </c>
      <c r="E94" s="2">
        <v>25.375129226076385</v>
      </c>
      <c r="F94">
        <v>29</v>
      </c>
      <c r="G94" s="2">
        <v>1.0537553621048086</v>
      </c>
      <c r="H94" s="10">
        <v>1.0490995455076211</v>
      </c>
      <c r="I94">
        <v>1.0711893277605262</v>
      </c>
      <c r="J94" s="2">
        <v>927.05233598881262</v>
      </c>
      <c r="K94" s="2">
        <v>927.36739807393246</v>
      </c>
      <c r="L94">
        <v>911.96424822708047</v>
      </c>
      <c r="M94" s="2">
        <v>147.94931544256849</v>
      </c>
      <c r="N94" s="2">
        <v>188.3040175278947</v>
      </c>
      <c r="O94">
        <v>123.09573486768545</v>
      </c>
      <c r="P94">
        <v>0</v>
      </c>
      <c r="Q94">
        <v>0</v>
      </c>
      <c r="R94">
        <v>0</v>
      </c>
    </row>
    <row r="95" spans="1:18" outlineLevel="1" x14ac:dyDescent="0.25">
      <c r="A95" s="44">
        <v>37</v>
      </c>
      <c r="B95" s="46">
        <f t="shared" si="2"/>
        <v>246.83484551944022</v>
      </c>
      <c r="C95" s="2">
        <v>246.83484551944022</v>
      </c>
      <c r="D95" s="2">
        <v>29</v>
      </c>
      <c r="E95" s="2">
        <v>25.375129226076385</v>
      </c>
      <c r="F95">
        <v>29</v>
      </c>
      <c r="G95" s="2">
        <v>1.0537550954167438</v>
      </c>
      <c r="H95" s="10">
        <v>1.04910775446838</v>
      </c>
      <c r="I95">
        <v>1.0711889639702405</v>
      </c>
      <c r="J95" s="2">
        <v>927.05257061049508</v>
      </c>
      <c r="K95" s="2">
        <v>927.3601416957888</v>
      </c>
      <c r="L95">
        <v>911.96455794249528</v>
      </c>
      <c r="M95" s="2">
        <v>153.50076570550527</v>
      </c>
      <c r="N95" s="2">
        <v>195.76683862190217</v>
      </c>
      <c r="O95">
        <v>127.23273329538229</v>
      </c>
      <c r="P95">
        <v>0</v>
      </c>
      <c r="Q95">
        <v>0</v>
      </c>
      <c r="R95">
        <v>0</v>
      </c>
    </row>
    <row r="96" spans="1:18" outlineLevel="1" x14ac:dyDescent="0.25">
      <c r="A96" s="44">
        <v>38</v>
      </c>
      <c r="B96" s="46">
        <f t="shared" si="2"/>
        <v>260.12613413958019</v>
      </c>
      <c r="C96" s="2">
        <v>260.12613413958019</v>
      </c>
      <c r="D96" s="2">
        <v>29</v>
      </c>
      <c r="E96" s="2">
        <v>25.375129226076385</v>
      </c>
      <c r="F96">
        <v>29</v>
      </c>
      <c r="G96" s="2">
        <v>1.0537548559818848</v>
      </c>
      <c r="H96" s="10">
        <v>1.0491151246010857</v>
      </c>
      <c r="I96">
        <v>1.0711886373561914</v>
      </c>
      <c r="J96" s="2">
        <v>927.05278125597908</v>
      </c>
      <c r="K96" s="2">
        <v>927.35362690332227</v>
      </c>
      <c r="L96">
        <v>911.96483600783927</v>
      </c>
      <c r="M96" s="2">
        <v>159.05221596844206</v>
      </c>
      <c r="N96" s="2">
        <v>203.22965971590963</v>
      </c>
      <c r="O96">
        <v>131.36973172307916</v>
      </c>
      <c r="P96">
        <v>0</v>
      </c>
      <c r="Q96">
        <v>0</v>
      </c>
      <c r="R96">
        <v>0</v>
      </c>
    </row>
    <row r="97" spans="1:18" outlineLevel="1" x14ac:dyDescent="0.25">
      <c r="A97" s="44">
        <v>39</v>
      </c>
      <c r="B97" s="46">
        <f t="shared" si="2"/>
        <v>273.41742275972013</v>
      </c>
      <c r="C97" s="2">
        <v>273.41742275972013</v>
      </c>
      <c r="D97" s="2">
        <v>29</v>
      </c>
      <c r="E97" s="2">
        <v>25.375129226076385</v>
      </c>
      <c r="F97">
        <v>29</v>
      </c>
      <c r="G97" s="2">
        <v>1.0537546398257487</v>
      </c>
      <c r="H97" s="10">
        <v>1.0491217782287456</v>
      </c>
      <c r="I97">
        <v>1.0711883424967634</v>
      </c>
      <c r="J97" s="2">
        <v>927.0529714218294</v>
      </c>
      <c r="K97" s="2">
        <v>927.34774554057628</v>
      </c>
      <c r="L97">
        <v>911.96508703879181</v>
      </c>
      <c r="M97" s="2">
        <v>164.60366623137878</v>
      </c>
      <c r="N97" s="2">
        <v>210.6924808099171</v>
      </c>
      <c r="O97">
        <v>135.50673015077598</v>
      </c>
      <c r="P97">
        <v>0</v>
      </c>
      <c r="Q97">
        <v>0</v>
      </c>
      <c r="R97">
        <v>0</v>
      </c>
    </row>
    <row r="98" spans="1:18" outlineLevel="1" x14ac:dyDescent="0.25">
      <c r="A98" s="44">
        <v>40</v>
      </c>
      <c r="B98" s="46">
        <f t="shared" si="2"/>
        <v>286.70871137986006</v>
      </c>
      <c r="C98" s="2">
        <v>286.70871137986006</v>
      </c>
      <c r="D98" s="2">
        <v>29</v>
      </c>
      <c r="E98" s="2">
        <v>25.375129226076385</v>
      </c>
      <c r="F98">
        <v>29</v>
      </c>
      <c r="G98" s="2">
        <v>1.0537544437108528</v>
      </c>
      <c r="H98" s="10">
        <v>1.049127814993031</v>
      </c>
      <c r="I98">
        <v>1.071188074975687</v>
      </c>
      <c r="J98" s="2">
        <v>927.05314395623543</v>
      </c>
      <c r="K98" s="2">
        <v>927.34240950842616</v>
      </c>
      <c r="L98">
        <v>911.96531479513772</v>
      </c>
      <c r="M98" s="2">
        <v>170.15511649431556</v>
      </c>
      <c r="N98" s="2">
        <v>218.15530190392454</v>
      </c>
      <c r="O98">
        <v>139.64372857847283</v>
      </c>
      <c r="P98">
        <v>0</v>
      </c>
      <c r="Q98">
        <v>0</v>
      </c>
      <c r="R98">
        <v>0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29</v>
      </c>
      <c r="E99" s="2">
        <v>25.375129226076385</v>
      </c>
      <c r="F99">
        <v>29</v>
      </c>
      <c r="G99" s="2">
        <v>1.0537542649734533</v>
      </c>
      <c r="H99" s="10">
        <v>1.0491333168783958</v>
      </c>
      <c r="I99">
        <v>1.0711878311593346</v>
      </c>
      <c r="J99" s="2">
        <v>927.05330120263875</v>
      </c>
      <c r="K99" s="2">
        <v>927.33754632130876</v>
      </c>
      <c r="L99">
        <v>911.96552237036406</v>
      </c>
      <c r="M99" s="2">
        <v>175.70656675725232</v>
      </c>
      <c r="N99" s="2">
        <v>225.61812299793198</v>
      </c>
      <c r="O99">
        <v>143.78072700616966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X176"/>
  <sheetViews>
    <sheetView topLeftCell="G10" zoomScaleNormal="100" workbookViewId="0">
      <selection activeCell="M36" sqref="M36"/>
    </sheetView>
  </sheetViews>
  <sheetFormatPr defaultRowHeight="15" x14ac:dyDescent="0.25"/>
  <sheetData>
    <row r="1" spans="1:20" x14ac:dyDescent="0.25">
      <c r="A1" t="str">
        <f>версия_</f>
        <v>вер 7.5</v>
      </c>
    </row>
    <row r="5" spans="1:20" ht="18" x14ac:dyDescent="0.35">
      <c r="G5" s="14" t="s">
        <v>46</v>
      </c>
      <c r="H5" s="9">
        <v>140</v>
      </c>
      <c r="I5" s="5" t="s">
        <v>41</v>
      </c>
    </row>
    <row r="6" spans="1:20" x14ac:dyDescent="0.25">
      <c r="A6" s="11"/>
      <c r="B6" t="s">
        <v>37</v>
      </c>
      <c r="G6" s="1"/>
    </row>
    <row r="7" spans="1:20" x14ac:dyDescent="0.25">
      <c r="A7" s="11"/>
      <c r="G7" s="1"/>
    </row>
    <row r="8" spans="1:20" x14ac:dyDescent="0.25">
      <c r="A8" s="11"/>
      <c r="B8" s="17" t="s">
        <v>49</v>
      </c>
      <c r="C8" s="2"/>
      <c r="D8" s="2"/>
      <c r="G8" s="1"/>
    </row>
    <row r="9" spans="1:20" ht="18" x14ac:dyDescent="0.35">
      <c r="A9" s="11"/>
      <c r="B9" s="14" t="s">
        <v>39</v>
      </c>
      <c r="C9" s="9">
        <v>1257</v>
      </c>
      <c r="D9" s="5" t="s">
        <v>38</v>
      </c>
      <c r="G9" s="1"/>
      <c r="T9" s="16" t="s">
        <v>190</v>
      </c>
    </row>
    <row r="10" spans="1:20" ht="18" x14ac:dyDescent="0.35">
      <c r="A10" s="11"/>
      <c r="B10" s="14" t="s">
        <v>40</v>
      </c>
      <c r="C10" s="9">
        <v>830</v>
      </c>
      <c r="D10" s="5" t="s">
        <v>25</v>
      </c>
      <c r="G10" s="1"/>
      <c r="T10" s="16" t="s">
        <v>191</v>
      </c>
    </row>
    <row r="11" spans="1:20" x14ac:dyDescent="0.25">
      <c r="A11" s="11"/>
      <c r="G11" s="1"/>
    </row>
    <row r="12" spans="1:20" ht="18" x14ac:dyDescent="0.35">
      <c r="A12" s="11"/>
      <c r="B12" s="14" t="s">
        <v>47</v>
      </c>
      <c r="C12" s="9">
        <v>75</v>
      </c>
      <c r="D12" s="5" t="s">
        <v>41</v>
      </c>
      <c r="G12" s="1"/>
    </row>
    <row r="13" spans="1:20" ht="18" x14ac:dyDescent="0.35">
      <c r="A13" s="11"/>
      <c r="B13" s="14" t="s">
        <v>45</v>
      </c>
      <c r="C13" s="9">
        <v>8</v>
      </c>
      <c r="D13" s="5" t="s">
        <v>41</v>
      </c>
      <c r="G13" s="1"/>
    </row>
    <row r="14" spans="1:20" x14ac:dyDescent="0.25">
      <c r="A14" s="11"/>
      <c r="G14" s="1"/>
    </row>
    <row r="15" spans="1:20" x14ac:dyDescent="0.25">
      <c r="A15" s="11"/>
      <c r="G15" s="1"/>
    </row>
    <row r="16" spans="1:20" x14ac:dyDescent="0.25">
      <c r="A16" s="11"/>
      <c r="B16" s="2" t="s">
        <v>42</v>
      </c>
      <c r="C16" s="2"/>
      <c r="E16" t="s">
        <v>65</v>
      </c>
      <c r="G16" s="1"/>
      <c r="H16" t="s">
        <v>59</v>
      </c>
      <c r="I16" s="1"/>
      <c r="J16" t="s">
        <v>63</v>
      </c>
      <c r="P16" t="s">
        <v>125</v>
      </c>
    </row>
    <row r="17" spans="1:24" ht="18" x14ac:dyDescent="0.35">
      <c r="A17" s="11"/>
      <c r="B17" s="5" t="s">
        <v>62</v>
      </c>
      <c r="C17" s="5" t="s">
        <v>61</v>
      </c>
      <c r="E17" s="5" t="s">
        <v>61</v>
      </c>
      <c r="F17" s="5" t="s">
        <v>11</v>
      </c>
      <c r="G17" s="1"/>
      <c r="H17" s="5" t="s">
        <v>62</v>
      </c>
      <c r="I17" s="14" t="s">
        <v>60</v>
      </c>
      <c r="J17" s="5" t="s">
        <v>62</v>
      </c>
      <c r="K17" s="14" t="s">
        <v>64</v>
      </c>
      <c r="P17" t="s">
        <v>126</v>
      </c>
      <c r="R17" t="s">
        <v>129</v>
      </c>
      <c r="S17" t="s">
        <v>128</v>
      </c>
      <c r="T17" t="s">
        <v>127</v>
      </c>
      <c r="U17" t="s">
        <v>126</v>
      </c>
      <c r="V17" t="s">
        <v>130</v>
      </c>
      <c r="W17" t="s">
        <v>126</v>
      </c>
      <c r="X17" t="s">
        <v>131</v>
      </c>
    </row>
    <row r="18" spans="1:24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159</v>
      </c>
      <c r="W18">
        <v>0</v>
      </c>
      <c r="X18">
        <v>89</v>
      </c>
    </row>
    <row r="19" spans="1:24" x14ac:dyDescent="0.25">
      <c r="A19" s="11"/>
      <c r="B19" s="9">
        <v>0</v>
      </c>
      <c r="C19" s="9" t="s">
        <v>201</v>
      </c>
      <c r="E19" s="16">
        <v>0</v>
      </c>
      <c r="F19" s="16">
        <v>0</v>
      </c>
      <c r="G19" s="1"/>
      <c r="H19" s="16">
        <v>0</v>
      </c>
      <c r="I19" s="48">
        <v>159</v>
      </c>
      <c r="J19" s="16">
        <v>0</v>
      </c>
      <c r="K19" s="48">
        <v>89</v>
      </c>
      <c r="P19">
        <v>110.25</v>
      </c>
      <c r="Q19">
        <v>110.25</v>
      </c>
      <c r="R19">
        <v>0</v>
      </c>
      <c r="S19">
        <v>41.908499999999997</v>
      </c>
      <c r="T19">
        <v>0.79999999999999993</v>
      </c>
      <c r="U19">
        <v>116.05263157894737</v>
      </c>
      <c r="V19">
        <v>159</v>
      </c>
      <c r="W19">
        <v>43.684210526315788</v>
      </c>
      <c r="X19">
        <v>89</v>
      </c>
    </row>
    <row r="20" spans="1:24" x14ac:dyDescent="0.25">
      <c r="A20" s="11"/>
      <c r="B20" s="9">
        <v>52.44</v>
      </c>
      <c r="C20" s="9">
        <v>52.44</v>
      </c>
      <c r="E20" s="16">
        <v>838.17</v>
      </c>
      <c r="F20" s="16">
        <v>16</v>
      </c>
      <c r="G20" s="1"/>
      <c r="H20" s="16">
        <v>2205</v>
      </c>
      <c r="I20" s="48">
        <v>159</v>
      </c>
      <c r="J20" s="16">
        <v>830</v>
      </c>
      <c r="K20" s="48">
        <v>89</v>
      </c>
      <c r="P20">
        <v>220.5</v>
      </c>
      <c r="Q20">
        <v>220.49213692946057</v>
      </c>
      <c r="R20">
        <v>7.86307053943428E-3</v>
      </c>
      <c r="S20">
        <v>83.816999999999993</v>
      </c>
      <c r="T20">
        <v>1.5999999999999999</v>
      </c>
      <c r="U20">
        <v>232.10526315789474</v>
      </c>
      <c r="V20">
        <v>159</v>
      </c>
      <c r="W20">
        <v>87.368421052631575</v>
      </c>
      <c r="X20">
        <v>89</v>
      </c>
    </row>
    <row r="21" spans="1:24" x14ac:dyDescent="0.25">
      <c r="A21" s="11"/>
      <c r="B21" s="60">
        <v>79.349999999999994</v>
      </c>
      <c r="C21" s="9">
        <v>79.349999999999994</v>
      </c>
      <c r="E21" s="16"/>
      <c r="F21" s="16"/>
      <c r="G21" s="1"/>
      <c r="H21" s="16"/>
      <c r="I21" s="48"/>
      <c r="J21" s="16"/>
      <c r="K21" s="48"/>
      <c r="P21">
        <v>330.75</v>
      </c>
      <c r="Q21">
        <v>330.73833133732535</v>
      </c>
      <c r="R21">
        <v>1.1668662674640088E-2</v>
      </c>
      <c r="S21">
        <v>125.72549999999998</v>
      </c>
      <c r="T21">
        <v>2.4</v>
      </c>
      <c r="U21">
        <v>348.15789473684208</v>
      </c>
      <c r="V21">
        <v>159</v>
      </c>
      <c r="W21">
        <v>131.05263157894737</v>
      </c>
      <c r="X21">
        <v>89</v>
      </c>
    </row>
    <row r="22" spans="1:24" x14ac:dyDescent="0.25">
      <c r="A22" s="11"/>
      <c r="B22" s="9">
        <v>103.08</v>
      </c>
      <c r="C22" s="9">
        <v>103.08</v>
      </c>
      <c r="E22" s="16"/>
      <c r="F22" s="16"/>
      <c r="G22" s="1"/>
      <c r="H22" s="16"/>
      <c r="I22" s="16"/>
      <c r="J22" s="16"/>
      <c r="K22" s="16"/>
      <c r="P22">
        <v>441</v>
      </c>
      <c r="Q22">
        <v>440.91987789987792</v>
      </c>
      <c r="R22">
        <v>8.0122100122084122E-2</v>
      </c>
      <c r="S22">
        <v>167.63399999999999</v>
      </c>
      <c r="T22">
        <v>3.1999999999999997</v>
      </c>
      <c r="U22">
        <v>464.21052631578948</v>
      </c>
      <c r="V22">
        <v>159</v>
      </c>
      <c r="W22">
        <v>174.73684210526315</v>
      </c>
      <c r="X22">
        <v>89</v>
      </c>
    </row>
    <row r="23" spans="1:24" x14ac:dyDescent="0.25">
      <c r="A23" s="11"/>
      <c r="B23" s="9">
        <v>127.67</v>
      </c>
      <c r="C23" s="9">
        <v>127.67</v>
      </c>
      <c r="E23" s="16"/>
      <c r="F23" s="16"/>
      <c r="G23" s="1"/>
      <c r="H23" s="16"/>
      <c r="I23" s="16"/>
      <c r="J23" s="16"/>
      <c r="K23" s="16"/>
      <c r="P23">
        <v>551.25</v>
      </c>
      <c r="Q23">
        <v>548.23389830508472</v>
      </c>
      <c r="R23">
        <v>3.016101694915275</v>
      </c>
      <c r="S23">
        <v>209.54249999999999</v>
      </c>
      <c r="T23">
        <v>4</v>
      </c>
      <c r="U23">
        <v>580.26315789473688</v>
      </c>
      <c r="V23">
        <v>159</v>
      </c>
      <c r="W23">
        <v>218.42105263157893</v>
      </c>
      <c r="X23">
        <v>89</v>
      </c>
    </row>
    <row r="24" spans="1:24" x14ac:dyDescent="0.25">
      <c r="A24" s="11"/>
      <c r="B24" s="9">
        <v>151.07</v>
      </c>
      <c r="C24" s="9">
        <v>151.07</v>
      </c>
      <c r="E24" s="16"/>
      <c r="F24" s="16"/>
      <c r="G24" s="1"/>
      <c r="H24" s="16"/>
      <c r="I24" s="16"/>
      <c r="J24" s="16"/>
      <c r="K24" s="16"/>
      <c r="P24">
        <v>661.5</v>
      </c>
      <c r="Q24">
        <v>646.44882002383792</v>
      </c>
      <c r="R24">
        <v>15.051179976162073</v>
      </c>
      <c r="S24">
        <v>251.45099999999996</v>
      </c>
      <c r="T24">
        <v>4.8</v>
      </c>
      <c r="U24">
        <v>696.31578947368416</v>
      </c>
      <c r="V24">
        <v>159</v>
      </c>
      <c r="W24">
        <v>262.10526315789474</v>
      </c>
      <c r="X24">
        <v>89</v>
      </c>
    </row>
    <row r="25" spans="1:24" x14ac:dyDescent="0.25">
      <c r="A25" s="11"/>
      <c r="B25" s="9">
        <v>176.87</v>
      </c>
      <c r="C25" s="9">
        <v>176.87</v>
      </c>
      <c r="E25" s="16"/>
      <c r="F25" s="16"/>
      <c r="G25" s="1"/>
      <c r="H25" s="16"/>
      <c r="I25" s="16"/>
      <c r="J25" s="16"/>
      <c r="K25" s="16"/>
      <c r="M25" s="15"/>
      <c r="N25" s="15"/>
      <c r="P25">
        <v>771.75</v>
      </c>
      <c r="Q25">
        <v>725.30653942953029</v>
      </c>
      <c r="R25">
        <v>46.44346057046976</v>
      </c>
      <c r="S25">
        <v>293.35949999999997</v>
      </c>
      <c r="T25">
        <v>5.6</v>
      </c>
      <c r="U25">
        <v>812.36842105263156</v>
      </c>
      <c r="V25">
        <v>159</v>
      </c>
      <c r="W25">
        <v>305.78947368421052</v>
      </c>
      <c r="X25">
        <v>89</v>
      </c>
    </row>
    <row r="26" spans="1:24" x14ac:dyDescent="0.25">
      <c r="A26" s="11"/>
      <c r="B26" s="9">
        <v>201.55</v>
      </c>
      <c r="C26" s="9">
        <v>201.55</v>
      </c>
      <c r="E26" s="16"/>
      <c r="F26" s="16"/>
      <c r="G26" s="1"/>
      <c r="H26" s="16"/>
      <c r="I26" s="16"/>
      <c r="J26" s="16"/>
      <c r="K26" s="16"/>
      <c r="M26" s="15"/>
      <c r="N26" s="15"/>
      <c r="P26">
        <v>882</v>
      </c>
      <c r="Q26">
        <v>784.55470171047136</v>
      </c>
      <c r="R26">
        <v>97.445298289528594</v>
      </c>
      <c r="S26">
        <v>335.26799999999997</v>
      </c>
      <c r="T26">
        <v>6.3999999999999995</v>
      </c>
      <c r="U26">
        <v>928.42105263157896</v>
      </c>
      <c r="V26">
        <v>159</v>
      </c>
      <c r="W26">
        <v>349.4736842105263</v>
      </c>
      <c r="X26">
        <v>89</v>
      </c>
    </row>
    <row r="27" spans="1:24" x14ac:dyDescent="0.25">
      <c r="A27" s="11"/>
      <c r="B27" s="9">
        <v>225.65</v>
      </c>
      <c r="C27" s="9">
        <v>225.64</v>
      </c>
      <c r="E27" s="16"/>
      <c r="F27" s="16"/>
      <c r="G27" s="1"/>
      <c r="H27" s="16"/>
      <c r="I27" s="16"/>
      <c r="J27" s="16"/>
      <c r="K27" s="16"/>
      <c r="M27" s="15"/>
      <c r="N27" s="15"/>
      <c r="P27">
        <v>992.25</v>
      </c>
      <c r="Q27">
        <v>817.05015391192819</v>
      </c>
      <c r="R27">
        <v>175.19984608807187</v>
      </c>
      <c r="S27">
        <v>377.17649999999998</v>
      </c>
      <c r="T27">
        <v>7.2</v>
      </c>
      <c r="U27">
        <v>1044.4736842105262</v>
      </c>
      <c r="V27">
        <v>159</v>
      </c>
      <c r="W27">
        <v>393.15789473684208</v>
      </c>
      <c r="X27">
        <v>89</v>
      </c>
    </row>
    <row r="28" spans="1:24" x14ac:dyDescent="0.25">
      <c r="A28" s="11"/>
      <c r="B28" s="9">
        <v>250.96</v>
      </c>
      <c r="C28" s="9">
        <v>250.95</v>
      </c>
      <c r="E28" s="16"/>
      <c r="F28" s="16"/>
      <c r="G28" s="1"/>
      <c r="H28" s="16"/>
      <c r="I28" s="16"/>
      <c r="J28" s="16"/>
      <c r="K28" s="16"/>
      <c r="M28" s="15"/>
      <c r="N28" s="15"/>
      <c r="P28">
        <v>1102.5</v>
      </c>
      <c r="Q28">
        <v>827.49654303708894</v>
      </c>
      <c r="R28">
        <v>275.00345696291112</v>
      </c>
      <c r="S28">
        <v>419.08499999999998</v>
      </c>
      <c r="T28">
        <v>8</v>
      </c>
      <c r="U28">
        <v>1160.5263157894738</v>
      </c>
      <c r="V28">
        <v>159</v>
      </c>
      <c r="W28">
        <v>436.84210526315786</v>
      </c>
      <c r="X28">
        <v>89</v>
      </c>
    </row>
    <row r="29" spans="1:24" x14ac:dyDescent="0.25">
      <c r="A29" s="11"/>
      <c r="B29" s="9">
        <v>274.16000000000003</v>
      </c>
      <c r="C29" s="9">
        <v>274.14999999999998</v>
      </c>
      <c r="E29" s="16"/>
      <c r="F29" s="16"/>
      <c r="G29" s="1"/>
      <c r="H29" s="16"/>
      <c r="I29" s="16"/>
      <c r="J29" s="16"/>
      <c r="K29" s="16"/>
      <c r="M29" s="15"/>
      <c r="N29" s="15"/>
      <c r="P29">
        <v>1212.75</v>
      </c>
      <c r="Q29">
        <v>837.63314265536724</v>
      </c>
      <c r="R29">
        <v>375.11685734463276</v>
      </c>
      <c r="S29">
        <v>460.99349999999998</v>
      </c>
      <c r="T29">
        <v>8.8000000000000007</v>
      </c>
      <c r="U29">
        <v>1276.578947368421</v>
      </c>
      <c r="V29">
        <v>159</v>
      </c>
      <c r="W29">
        <v>480.52631578947364</v>
      </c>
      <c r="X29">
        <v>89</v>
      </c>
    </row>
    <row r="30" spans="1:24" x14ac:dyDescent="0.25">
      <c r="A30" s="11"/>
      <c r="B30" s="9">
        <v>300.98</v>
      </c>
      <c r="C30" s="9">
        <v>300.97000000000003</v>
      </c>
      <c r="E30" s="16"/>
      <c r="F30" s="16"/>
      <c r="G30" s="1"/>
      <c r="H30" s="16"/>
      <c r="I30" s="16"/>
      <c r="J30" s="16"/>
      <c r="K30" s="16"/>
      <c r="M30" s="15"/>
      <c r="N30" s="15"/>
      <c r="P30">
        <v>1323</v>
      </c>
      <c r="Q30">
        <v>838.21950000000004</v>
      </c>
      <c r="R30">
        <v>484.78049999999996</v>
      </c>
      <c r="S30">
        <v>502.90199999999993</v>
      </c>
      <c r="T30">
        <v>9.6</v>
      </c>
      <c r="U30">
        <v>1392.6315789473683</v>
      </c>
      <c r="V30">
        <v>159</v>
      </c>
      <c r="W30">
        <v>524.21052631578948</v>
      </c>
      <c r="X30">
        <v>89</v>
      </c>
    </row>
    <row r="31" spans="1:24" x14ac:dyDescent="0.25">
      <c r="A31" s="11"/>
      <c r="B31" s="9">
        <v>326.57</v>
      </c>
      <c r="C31" s="9">
        <v>326.56</v>
      </c>
      <c r="E31" s="16"/>
      <c r="F31" s="16"/>
      <c r="G31" s="1"/>
      <c r="H31" s="16"/>
      <c r="I31" s="16"/>
      <c r="J31" s="16"/>
      <c r="K31" s="16"/>
      <c r="M31" s="15"/>
      <c r="N31" s="15"/>
      <c r="P31">
        <v>1433.25</v>
      </c>
      <c r="Q31">
        <v>838.46125277983697</v>
      </c>
      <c r="R31">
        <v>594.78874722016303</v>
      </c>
      <c r="S31">
        <v>544.81049999999993</v>
      </c>
      <c r="T31">
        <v>10.399999999999999</v>
      </c>
      <c r="U31">
        <v>1508.6842105263158</v>
      </c>
      <c r="V31">
        <v>159</v>
      </c>
      <c r="W31">
        <v>567.8947368421052</v>
      </c>
      <c r="X31">
        <v>89</v>
      </c>
    </row>
    <row r="32" spans="1:24" x14ac:dyDescent="0.25">
      <c r="A32" s="11"/>
      <c r="B32" s="9">
        <v>351.62</v>
      </c>
      <c r="C32" s="9">
        <v>351.6</v>
      </c>
      <c r="E32" s="16"/>
      <c r="F32" s="16"/>
      <c r="G32" s="1"/>
      <c r="H32" s="16"/>
      <c r="I32" s="16"/>
      <c r="J32" s="16"/>
      <c r="K32" s="16"/>
      <c r="M32" s="15"/>
      <c r="N32" s="15"/>
      <c r="P32">
        <v>1543.5</v>
      </c>
      <c r="Q32">
        <v>838.6140590405904</v>
      </c>
      <c r="R32">
        <v>704.8859409594096</v>
      </c>
      <c r="S32">
        <v>586.71899999999994</v>
      </c>
      <c r="T32">
        <v>11.2</v>
      </c>
      <c r="U32">
        <v>1624.7368421052631</v>
      </c>
      <c r="V32">
        <v>159</v>
      </c>
      <c r="W32">
        <v>611.57894736842104</v>
      </c>
      <c r="X32">
        <v>89</v>
      </c>
    </row>
    <row r="33" spans="1:24" x14ac:dyDescent="0.25">
      <c r="A33" s="11"/>
      <c r="B33" s="9">
        <v>375.78</v>
      </c>
      <c r="C33" s="9">
        <v>375.76</v>
      </c>
      <c r="E33" s="16"/>
      <c r="F33" s="16"/>
      <c r="G33" s="1"/>
      <c r="H33" s="16"/>
      <c r="I33" s="16"/>
      <c r="J33" s="16"/>
      <c r="K33" s="16"/>
      <c r="M33" s="15"/>
      <c r="N33" s="15"/>
      <c r="P33">
        <v>1653.75</v>
      </c>
      <c r="Q33">
        <v>838.8157836644591</v>
      </c>
      <c r="R33">
        <v>814.9342163355409</v>
      </c>
      <c r="S33">
        <v>628.62749999999994</v>
      </c>
      <c r="T33">
        <v>12</v>
      </c>
      <c r="U33">
        <v>1740.7894736842106</v>
      </c>
      <c r="V33">
        <v>159</v>
      </c>
      <c r="W33">
        <v>655.26315789473676</v>
      </c>
      <c r="X33">
        <v>89</v>
      </c>
    </row>
    <row r="34" spans="1:24" x14ac:dyDescent="0.25">
      <c r="A34" s="11"/>
      <c r="B34" s="9">
        <v>399.72</v>
      </c>
      <c r="C34" s="9">
        <v>399.69</v>
      </c>
      <c r="E34" s="16"/>
      <c r="F34" s="16"/>
      <c r="G34" s="1"/>
      <c r="H34" s="16"/>
      <c r="I34" s="16"/>
      <c r="J34" s="16"/>
      <c r="K34" s="16"/>
      <c r="M34" s="15"/>
      <c r="N34" s="15"/>
      <c r="P34">
        <v>1764</v>
      </c>
      <c r="Q34">
        <v>838.98168888888893</v>
      </c>
      <c r="R34">
        <v>925.01831111111107</v>
      </c>
      <c r="S34">
        <v>670.53599999999994</v>
      </c>
      <c r="T34">
        <v>12.799999999999999</v>
      </c>
      <c r="U34">
        <v>1856.8421052631579</v>
      </c>
      <c r="V34">
        <v>159</v>
      </c>
      <c r="W34">
        <v>698.9473684210526</v>
      </c>
      <c r="X34">
        <v>89</v>
      </c>
    </row>
    <row r="35" spans="1:24" x14ac:dyDescent="0.25">
      <c r="A35" s="11"/>
      <c r="B35" s="9">
        <v>424.57</v>
      </c>
      <c r="C35" s="9">
        <v>424.53</v>
      </c>
      <c r="E35" s="16"/>
      <c r="F35" s="16"/>
      <c r="G35" s="1"/>
      <c r="H35" s="16"/>
      <c r="I35" s="16"/>
      <c r="J35" s="16"/>
      <c r="K35" s="16"/>
      <c r="M35" s="15"/>
      <c r="N35" s="15"/>
      <c r="P35">
        <v>1874.25</v>
      </c>
      <c r="Q35">
        <v>839.22502018842533</v>
      </c>
      <c r="R35">
        <v>1035.0249798115747</v>
      </c>
      <c r="S35">
        <v>712.44449999999995</v>
      </c>
      <c r="T35">
        <v>13.6</v>
      </c>
      <c r="U35">
        <v>1972.8947368421052</v>
      </c>
      <c r="V35">
        <v>159</v>
      </c>
      <c r="W35">
        <v>742.63157894736844</v>
      </c>
      <c r="X35">
        <v>89</v>
      </c>
    </row>
    <row r="36" spans="1:24" x14ac:dyDescent="0.25">
      <c r="A36" s="11"/>
      <c r="B36" s="9">
        <v>449.14</v>
      </c>
      <c r="C36" s="9">
        <v>449.04</v>
      </c>
      <c r="E36" s="16"/>
      <c r="F36" s="16"/>
      <c r="G36" s="1"/>
      <c r="H36" s="16"/>
      <c r="I36" s="16"/>
      <c r="J36" s="16"/>
      <c r="K36" s="16"/>
      <c r="M36" s="15"/>
      <c r="N36" s="15"/>
      <c r="P36">
        <v>1984.5</v>
      </c>
      <c r="Q36">
        <v>839.27774666666664</v>
      </c>
      <c r="R36">
        <v>1145.2222533333334</v>
      </c>
      <c r="S36">
        <v>754.35299999999995</v>
      </c>
      <c r="T36">
        <v>14.4</v>
      </c>
      <c r="U36">
        <v>2088.9473684210525</v>
      </c>
      <c r="V36">
        <v>159</v>
      </c>
      <c r="W36">
        <v>786.31578947368416</v>
      </c>
      <c r="X36">
        <v>89</v>
      </c>
    </row>
    <row r="37" spans="1:24" x14ac:dyDescent="0.25">
      <c r="A37" s="11"/>
      <c r="B37" s="9">
        <v>473.47</v>
      </c>
      <c r="C37" s="9">
        <v>473.19</v>
      </c>
      <c r="E37" s="16"/>
      <c r="F37" s="16"/>
      <c r="G37" s="1"/>
      <c r="H37" s="16"/>
      <c r="I37" s="16"/>
      <c r="J37" s="16"/>
      <c r="K37" s="16"/>
      <c r="M37" s="15"/>
      <c r="N37" s="15"/>
      <c r="P37">
        <v>2094.75</v>
      </c>
      <c r="Q37">
        <v>839.46663973063971</v>
      </c>
      <c r="R37">
        <v>1255.2833602693602</v>
      </c>
      <c r="S37">
        <v>796.26149999999996</v>
      </c>
      <c r="T37">
        <v>15.2</v>
      </c>
      <c r="U37">
        <v>2204.9899999999998</v>
      </c>
      <c r="V37">
        <v>159</v>
      </c>
      <c r="W37">
        <v>829.99</v>
      </c>
      <c r="X37">
        <v>89</v>
      </c>
    </row>
    <row r="38" spans="1:24" x14ac:dyDescent="0.25">
      <c r="A38" s="11"/>
      <c r="B38" s="9">
        <v>497.99</v>
      </c>
      <c r="C38" s="9">
        <v>497.34</v>
      </c>
      <c r="E38" s="16"/>
      <c r="F38" s="16"/>
      <c r="G38" s="1"/>
      <c r="H38" s="16"/>
      <c r="I38" s="16"/>
      <c r="J38" s="16"/>
      <c r="K38" s="16"/>
      <c r="M38" s="15"/>
      <c r="N38" s="15"/>
      <c r="P38">
        <v>2205</v>
      </c>
      <c r="Q38">
        <v>838.17</v>
      </c>
      <c r="R38">
        <v>1366.83</v>
      </c>
      <c r="S38">
        <v>838.17</v>
      </c>
      <c r="T38">
        <v>16</v>
      </c>
      <c r="U38">
        <v>2205</v>
      </c>
      <c r="V38">
        <v>159</v>
      </c>
      <c r="W38">
        <v>830</v>
      </c>
      <c r="X38">
        <v>89</v>
      </c>
    </row>
    <row r="39" spans="1:24" x14ac:dyDescent="0.25">
      <c r="A39" s="11"/>
      <c r="B39" s="9">
        <v>521.82000000000005</v>
      </c>
      <c r="C39" s="9">
        <v>520.44000000000005</v>
      </c>
      <c r="G39" s="1"/>
      <c r="M39" s="15"/>
      <c r="N39" s="15"/>
    </row>
    <row r="40" spans="1:24" x14ac:dyDescent="0.25">
      <c r="A40" s="11"/>
      <c r="B40" s="16">
        <v>530.67999999999995</v>
      </c>
      <c r="C40" s="16">
        <v>528.9</v>
      </c>
      <c r="G40" s="1"/>
      <c r="M40" s="15"/>
      <c r="N40" s="15"/>
    </row>
    <row r="41" spans="1:24" x14ac:dyDescent="0.25">
      <c r="A41" s="11"/>
      <c r="B41" s="16">
        <v>556.64</v>
      </c>
      <c r="C41" s="16">
        <v>553.29999999999995</v>
      </c>
      <c r="G41" s="1"/>
      <c r="M41" s="15"/>
      <c r="N41" s="15"/>
    </row>
    <row r="42" spans="1:24" x14ac:dyDescent="0.25">
      <c r="A42" s="11"/>
      <c r="B42" s="16">
        <v>582.17999999999995</v>
      </c>
      <c r="C42" s="16">
        <v>576.86</v>
      </c>
      <c r="G42" s="1"/>
      <c r="M42" s="15"/>
      <c r="N42" s="15"/>
    </row>
    <row r="43" spans="1:24" x14ac:dyDescent="0.25">
      <c r="A43" s="11"/>
      <c r="B43" s="16">
        <v>605.41</v>
      </c>
      <c r="C43" s="16">
        <v>597.87</v>
      </c>
      <c r="G43" s="1"/>
      <c r="M43" s="15"/>
      <c r="N43" s="15"/>
    </row>
    <row r="44" spans="1:24" x14ac:dyDescent="0.25">
      <c r="A44" s="11"/>
      <c r="B44" s="16">
        <v>632.05999999999995</v>
      </c>
      <c r="C44" s="16">
        <v>621.36</v>
      </c>
      <c r="G44" s="1"/>
      <c r="M44" s="15"/>
      <c r="N44" s="15"/>
    </row>
    <row r="45" spans="1:24" x14ac:dyDescent="0.25">
      <c r="A45" s="11"/>
      <c r="B45" s="16">
        <v>657.79</v>
      </c>
      <c r="C45" s="16">
        <v>643.38</v>
      </c>
      <c r="G45" s="1"/>
      <c r="M45" s="15"/>
      <c r="N45" s="15"/>
    </row>
    <row r="46" spans="1:24" x14ac:dyDescent="0.25">
      <c r="A46" s="11"/>
      <c r="B46" s="16">
        <v>682.96</v>
      </c>
      <c r="C46" s="16">
        <v>664.2</v>
      </c>
      <c r="G46" s="1"/>
    </row>
    <row r="47" spans="1:24" x14ac:dyDescent="0.25">
      <c r="A47" s="11"/>
      <c r="B47" s="16">
        <v>707.16</v>
      </c>
      <c r="C47" s="16">
        <v>683.05</v>
      </c>
      <c r="G47" s="1"/>
    </row>
    <row r="48" spans="1:24" x14ac:dyDescent="0.25">
      <c r="A48" s="11"/>
      <c r="B48" s="16">
        <v>730.92</v>
      </c>
      <c r="C48" s="16" t="s">
        <v>202</v>
      </c>
      <c r="G48" s="1"/>
    </row>
    <row r="49" spans="1:7" x14ac:dyDescent="0.25">
      <c r="A49" s="11"/>
      <c r="B49" s="16">
        <v>755.92</v>
      </c>
      <c r="C49" s="16">
        <v>716.11</v>
      </c>
      <c r="G49" s="1"/>
    </row>
    <row r="50" spans="1:7" x14ac:dyDescent="0.25">
      <c r="A50" s="11"/>
      <c r="B50" s="16">
        <v>779.76</v>
      </c>
      <c r="C50" s="16">
        <v>729.96</v>
      </c>
      <c r="G50" s="1"/>
    </row>
    <row r="51" spans="1:7" x14ac:dyDescent="0.25">
      <c r="A51" s="11"/>
      <c r="B51" s="16">
        <v>803.97</v>
      </c>
      <c r="C51" s="16">
        <v>743.39</v>
      </c>
      <c r="G51" s="1"/>
    </row>
    <row r="52" spans="1:7" x14ac:dyDescent="0.25">
      <c r="A52" s="11"/>
      <c r="B52" s="16">
        <v>828.29</v>
      </c>
      <c r="C52" s="16">
        <v>756.99</v>
      </c>
      <c r="G52" s="1"/>
    </row>
    <row r="53" spans="1:7" x14ac:dyDescent="0.25">
      <c r="A53" s="11"/>
      <c r="B53" s="16">
        <v>850.28</v>
      </c>
      <c r="C53" s="16">
        <v>769.15</v>
      </c>
      <c r="G53" s="1"/>
    </row>
    <row r="54" spans="1:7" x14ac:dyDescent="0.25">
      <c r="A54" s="11"/>
      <c r="B54" s="16">
        <v>876.02</v>
      </c>
      <c r="C54" s="16">
        <v>782.02</v>
      </c>
      <c r="G54" s="1"/>
    </row>
    <row r="55" spans="1:7" x14ac:dyDescent="0.25">
      <c r="A55" s="11"/>
      <c r="B55" s="16">
        <v>899.99</v>
      </c>
      <c r="C55" s="16">
        <v>792.18</v>
      </c>
      <c r="G55" s="1"/>
    </row>
    <row r="56" spans="1:7" x14ac:dyDescent="0.25">
      <c r="A56" s="11"/>
      <c r="B56" s="16">
        <v>925.63</v>
      </c>
      <c r="C56" s="16">
        <v>801.34</v>
      </c>
      <c r="G56" s="1"/>
    </row>
    <row r="57" spans="1:7" x14ac:dyDescent="0.25">
      <c r="A57" s="11"/>
      <c r="B57" s="16">
        <v>952.06</v>
      </c>
      <c r="C57" s="16">
        <v>809.29</v>
      </c>
      <c r="G57" s="1"/>
    </row>
    <row r="58" spans="1:7" x14ac:dyDescent="0.25">
      <c r="A58" s="11"/>
      <c r="B58" s="16">
        <v>976.21</v>
      </c>
      <c r="C58" s="16">
        <v>814.89</v>
      </c>
      <c r="G58" s="1"/>
    </row>
    <row r="59" spans="1:7" x14ac:dyDescent="0.25">
      <c r="A59" s="11"/>
      <c r="B59" s="16">
        <v>999.6</v>
      </c>
      <c r="C59" s="16">
        <v>818.04</v>
      </c>
      <c r="G59" s="1"/>
    </row>
    <row r="60" spans="1:7" x14ac:dyDescent="0.25">
      <c r="A60" s="11"/>
      <c r="B60" s="16">
        <v>1014.97</v>
      </c>
      <c r="C60" s="16">
        <v>819.15</v>
      </c>
      <c r="G60" s="1"/>
    </row>
    <row r="61" spans="1:7" x14ac:dyDescent="0.25">
      <c r="A61" s="11"/>
      <c r="B61" s="16">
        <v>1024.6199999999999</v>
      </c>
      <c r="C61" s="16">
        <v>819.65</v>
      </c>
      <c r="G61" s="1"/>
    </row>
    <row r="62" spans="1:7" x14ac:dyDescent="0.25">
      <c r="A62" s="11"/>
      <c r="B62" s="16">
        <v>1037.6199999999999</v>
      </c>
      <c r="C62" s="16">
        <v>820.31</v>
      </c>
      <c r="G62" s="1"/>
    </row>
    <row r="63" spans="1:7" x14ac:dyDescent="0.25">
      <c r="A63" s="11"/>
      <c r="B63" s="16">
        <v>1048.55</v>
      </c>
      <c r="C63" s="16">
        <v>820.98</v>
      </c>
      <c r="G63" s="1"/>
    </row>
    <row r="64" spans="1:7" x14ac:dyDescent="0.25">
      <c r="A64" s="11"/>
      <c r="B64" s="16">
        <v>1061.53</v>
      </c>
      <c r="C64" s="16">
        <v>822.21</v>
      </c>
      <c r="G64" s="1"/>
    </row>
    <row r="65" spans="1:7" x14ac:dyDescent="0.25">
      <c r="A65" s="11"/>
      <c r="B65" s="16">
        <v>1072.92</v>
      </c>
      <c r="C65" s="16">
        <v>823.67</v>
      </c>
      <c r="G65" s="1"/>
    </row>
    <row r="66" spans="1:7" x14ac:dyDescent="0.25">
      <c r="A66" s="11"/>
      <c r="B66" s="16">
        <v>1085.2</v>
      </c>
      <c r="C66" s="16">
        <v>825.27</v>
      </c>
      <c r="G66" s="1"/>
    </row>
    <row r="67" spans="1:7" x14ac:dyDescent="0.25">
      <c r="A67" s="11"/>
      <c r="B67" s="16">
        <v>1096.28</v>
      </c>
      <c r="C67" s="16">
        <v>826.7</v>
      </c>
      <c r="G67" s="1"/>
    </row>
    <row r="68" spans="1:7" x14ac:dyDescent="0.25">
      <c r="A68" s="11"/>
      <c r="B68" s="16">
        <v>1110.57</v>
      </c>
      <c r="C68" s="16">
        <v>828.53</v>
      </c>
      <c r="G68" s="1"/>
    </row>
    <row r="69" spans="1:7" x14ac:dyDescent="0.25">
      <c r="A69" s="11"/>
      <c r="B69" s="16">
        <v>1121.58</v>
      </c>
      <c r="C69" s="16">
        <v>829.99</v>
      </c>
      <c r="G69" s="1"/>
    </row>
    <row r="70" spans="1:7" x14ac:dyDescent="0.25">
      <c r="A70" s="11"/>
      <c r="B70" s="16">
        <v>1134.9000000000001</v>
      </c>
      <c r="C70" s="16">
        <v>831.8</v>
      </c>
      <c r="G70" s="1"/>
    </row>
    <row r="71" spans="1:7" x14ac:dyDescent="0.25">
      <c r="A71" s="11"/>
      <c r="B71" s="16">
        <v>1146.8800000000001</v>
      </c>
      <c r="C71" s="16">
        <v>833.44</v>
      </c>
      <c r="G71" s="1"/>
    </row>
    <row r="72" spans="1:7" x14ac:dyDescent="0.25">
      <c r="A72" s="11"/>
      <c r="B72" s="16">
        <v>1160.18</v>
      </c>
      <c r="C72" s="16">
        <v>834.98</v>
      </c>
      <c r="G72" s="1"/>
    </row>
    <row r="73" spans="1:7" x14ac:dyDescent="0.25">
      <c r="A73" s="11"/>
      <c r="B73" s="16">
        <v>1164.8800000000001</v>
      </c>
      <c r="C73" s="16">
        <v>835.36</v>
      </c>
      <c r="G73" s="1"/>
    </row>
    <row r="74" spans="1:7" x14ac:dyDescent="0.25">
      <c r="A74" s="11"/>
      <c r="B74" s="16">
        <v>1181.95</v>
      </c>
      <c r="C74" s="16">
        <v>836.44</v>
      </c>
      <c r="G74" s="1"/>
    </row>
    <row r="75" spans="1:7" x14ac:dyDescent="0.25">
      <c r="A75" s="11"/>
      <c r="B75" s="16">
        <v>1194.8</v>
      </c>
      <c r="C75" s="16">
        <v>837.08</v>
      </c>
      <c r="G75" s="1"/>
    </row>
    <row r="76" spans="1:7" x14ac:dyDescent="0.25">
      <c r="A76" s="11"/>
      <c r="B76" s="16">
        <v>1206.4000000000001</v>
      </c>
      <c r="C76" s="16">
        <v>837.53</v>
      </c>
      <c r="G76" s="1"/>
    </row>
    <row r="77" spans="1:7" x14ac:dyDescent="0.25">
      <c r="A77" s="11"/>
      <c r="B77" s="16">
        <v>1220.56</v>
      </c>
      <c r="C77" s="16">
        <v>837.76</v>
      </c>
      <c r="G77" s="1"/>
    </row>
    <row r="78" spans="1:7" x14ac:dyDescent="0.25">
      <c r="A78" s="11"/>
      <c r="B78" s="16">
        <v>1231.4100000000001</v>
      </c>
      <c r="C78" s="16">
        <v>837.85</v>
      </c>
      <c r="G78" s="1"/>
    </row>
    <row r="79" spans="1:7" x14ac:dyDescent="0.25">
      <c r="A79" s="11"/>
      <c r="B79" s="16">
        <v>1245.18</v>
      </c>
      <c r="C79" s="16">
        <v>838.01</v>
      </c>
      <c r="G79" s="1"/>
    </row>
    <row r="80" spans="1:7" x14ac:dyDescent="0.25">
      <c r="A80" s="11"/>
      <c r="B80" s="16">
        <v>1256.46</v>
      </c>
      <c r="C80" s="16">
        <v>838.06</v>
      </c>
      <c r="G80" s="1"/>
    </row>
    <row r="81" spans="1:7" x14ac:dyDescent="0.25">
      <c r="A81" s="11"/>
      <c r="B81" s="16">
        <v>1269.3599999999999</v>
      </c>
      <c r="C81" s="16">
        <v>838.06</v>
      </c>
      <c r="G81" s="1"/>
    </row>
    <row r="82" spans="1:7" x14ac:dyDescent="0.25">
      <c r="A82" s="11"/>
      <c r="B82" s="16">
        <v>1281.3800000000001</v>
      </c>
      <c r="C82" s="16">
        <v>838.07</v>
      </c>
      <c r="G82" s="1"/>
    </row>
    <row r="83" spans="1:7" x14ac:dyDescent="0.25">
      <c r="A83" s="11"/>
      <c r="B83" s="16">
        <v>1294.1300000000001</v>
      </c>
      <c r="C83" s="16">
        <v>838.09</v>
      </c>
      <c r="G83" s="1"/>
    </row>
    <row r="84" spans="1:7" x14ac:dyDescent="0.25">
      <c r="A84" s="11"/>
      <c r="B84" s="16">
        <v>1306.1099999999999</v>
      </c>
      <c r="C84" s="16">
        <v>838.13</v>
      </c>
      <c r="G84" s="1"/>
    </row>
    <row r="85" spans="1:7" x14ac:dyDescent="0.25">
      <c r="A85" s="11"/>
      <c r="B85" s="16">
        <v>1319.1</v>
      </c>
      <c r="C85" s="16">
        <v>838.2</v>
      </c>
      <c r="G85" s="1"/>
    </row>
    <row r="86" spans="1:7" x14ac:dyDescent="0.25">
      <c r="A86" s="11"/>
      <c r="B86" s="16">
        <v>1331.1</v>
      </c>
      <c r="C86" s="16">
        <v>838.26</v>
      </c>
      <c r="G86" s="1"/>
    </row>
    <row r="87" spans="1:7" x14ac:dyDescent="0.25">
      <c r="A87" s="11"/>
      <c r="B87" s="16">
        <v>1343.93</v>
      </c>
      <c r="C87" s="16">
        <v>838.28</v>
      </c>
      <c r="G87" s="1"/>
    </row>
    <row r="88" spans="1:7" x14ac:dyDescent="0.25">
      <c r="A88" s="11"/>
      <c r="B88" s="16">
        <v>1355.91</v>
      </c>
      <c r="C88" s="16">
        <v>838.31</v>
      </c>
      <c r="G88" s="1"/>
    </row>
    <row r="89" spans="1:7" x14ac:dyDescent="0.25">
      <c r="A89" s="11"/>
      <c r="B89" s="16">
        <v>1370.69</v>
      </c>
      <c r="C89" s="16">
        <v>838.34</v>
      </c>
      <c r="G89" s="1"/>
    </row>
    <row r="90" spans="1:7" x14ac:dyDescent="0.25">
      <c r="A90" s="11"/>
      <c r="B90" s="16">
        <v>1384.07</v>
      </c>
      <c r="C90" s="16">
        <v>838.36</v>
      </c>
      <c r="G90" s="1"/>
    </row>
    <row r="91" spans="1:7" x14ac:dyDescent="0.25">
      <c r="A91" s="11"/>
      <c r="B91" s="16">
        <v>1398.31</v>
      </c>
      <c r="C91" s="16">
        <v>838.39</v>
      </c>
      <c r="G91" s="1"/>
    </row>
    <row r="92" spans="1:7" x14ac:dyDescent="0.25">
      <c r="A92" s="11"/>
      <c r="B92" s="16">
        <v>1411.69</v>
      </c>
      <c r="C92" s="16">
        <v>838.41</v>
      </c>
      <c r="G92" s="1"/>
    </row>
    <row r="93" spans="1:7" x14ac:dyDescent="0.25">
      <c r="A93" s="11"/>
      <c r="B93" s="16">
        <v>1425.66</v>
      </c>
      <c r="C93" s="16">
        <v>838.45</v>
      </c>
      <c r="G93" s="1"/>
    </row>
    <row r="94" spans="1:7" x14ac:dyDescent="0.25">
      <c r="A94" s="11"/>
      <c r="B94" s="16">
        <v>1439.15</v>
      </c>
      <c r="C94" s="16">
        <v>838.47</v>
      </c>
      <c r="G94" s="1"/>
    </row>
    <row r="95" spans="1:7" x14ac:dyDescent="0.25">
      <c r="A95" s="11"/>
      <c r="B95" s="16">
        <v>1453.99</v>
      </c>
      <c r="C95" s="16">
        <v>838.49</v>
      </c>
      <c r="G95" s="1"/>
    </row>
    <row r="96" spans="1:7" x14ac:dyDescent="0.25">
      <c r="A96" s="11"/>
      <c r="B96" s="16">
        <v>1467.67</v>
      </c>
      <c r="C96" s="16">
        <v>838.52</v>
      </c>
      <c r="G96" s="1"/>
    </row>
    <row r="97" spans="1:7" x14ac:dyDescent="0.25">
      <c r="A97" s="11"/>
      <c r="B97" s="16">
        <v>1480.99</v>
      </c>
      <c r="C97" s="16">
        <v>838.53</v>
      </c>
      <c r="G97" s="1"/>
    </row>
    <row r="98" spans="1:7" x14ac:dyDescent="0.25">
      <c r="A98" s="11"/>
      <c r="B98" s="16">
        <v>1494.58</v>
      </c>
      <c r="C98" s="16">
        <v>838.54</v>
      </c>
      <c r="G98" s="1"/>
    </row>
    <row r="99" spans="1:7" x14ac:dyDescent="0.25">
      <c r="A99" s="11"/>
      <c r="B99" s="16">
        <v>1508.56</v>
      </c>
      <c r="C99" s="16">
        <v>838.57</v>
      </c>
      <c r="G99" s="1"/>
    </row>
    <row r="100" spans="1:7" x14ac:dyDescent="0.25">
      <c r="A100" s="11"/>
      <c r="B100" s="16">
        <v>1522.66</v>
      </c>
      <c r="C100" s="16">
        <v>838.59</v>
      </c>
      <c r="G100" s="1"/>
    </row>
    <row r="101" spans="1:7" x14ac:dyDescent="0.25">
      <c r="A101" s="11"/>
      <c r="B101" s="16">
        <v>1537.15</v>
      </c>
      <c r="C101" s="16">
        <v>838.6</v>
      </c>
      <c r="G101" s="1"/>
    </row>
    <row r="102" spans="1:7" x14ac:dyDescent="0.25">
      <c r="A102" s="11"/>
      <c r="B102" s="16">
        <v>1550.7</v>
      </c>
      <c r="C102" s="16">
        <v>838.63</v>
      </c>
      <c r="G102" s="1"/>
    </row>
    <row r="103" spans="1:7" x14ac:dyDescent="0.25">
      <c r="A103" s="11"/>
      <c r="B103" s="16">
        <v>1564.58</v>
      </c>
      <c r="C103" s="16">
        <v>838.67</v>
      </c>
      <c r="G103" s="1"/>
    </row>
    <row r="104" spans="1:7" x14ac:dyDescent="0.25">
      <c r="A104" s="11"/>
      <c r="B104" s="16">
        <v>1579.12</v>
      </c>
      <c r="C104" s="16">
        <v>838.71</v>
      </c>
      <c r="G104" s="1"/>
    </row>
    <row r="105" spans="1:7" x14ac:dyDescent="0.25">
      <c r="A105" s="11"/>
      <c r="B105" s="16">
        <v>1593.72</v>
      </c>
      <c r="C105" s="16">
        <v>838.72</v>
      </c>
      <c r="G105" s="1"/>
    </row>
    <row r="106" spans="1:7" x14ac:dyDescent="0.25">
      <c r="A106" s="11"/>
      <c r="B106" s="16">
        <v>1607.33</v>
      </c>
      <c r="C106" s="16">
        <v>838.74</v>
      </c>
      <c r="G106" s="1"/>
    </row>
    <row r="107" spans="1:7" x14ac:dyDescent="0.25">
      <c r="A107" s="11"/>
      <c r="B107" s="16">
        <v>1621.6</v>
      </c>
      <c r="C107" s="16">
        <v>838.76</v>
      </c>
      <c r="G107" s="1"/>
    </row>
    <row r="108" spans="1:7" x14ac:dyDescent="0.25">
      <c r="A108" s="11"/>
      <c r="B108" s="16">
        <v>1635.33</v>
      </c>
      <c r="C108" s="16">
        <v>838.78</v>
      </c>
      <c r="G108" s="1"/>
    </row>
    <row r="109" spans="1:7" x14ac:dyDescent="0.25">
      <c r="A109" s="11"/>
      <c r="B109" s="16">
        <v>1649.82</v>
      </c>
      <c r="C109" s="16">
        <v>838.81</v>
      </c>
      <c r="G109" s="1"/>
    </row>
    <row r="110" spans="1:7" x14ac:dyDescent="0.25">
      <c r="A110" s="11"/>
      <c r="B110" s="16">
        <v>1663.41</v>
      </c>
      <c r="C110" s="16">
        <v>838.83</v>
      </c>
      <c r="G110" s="1"/>
    </row>
    <row r="111" spans="1:7" x14ac:dyDescent="0.25">
      <c r="A111" s="11"/>
      <c r="B111" s="16">
        <v>1677.66</v>
      </c>
      <c r="C111" s="16">
        <v>838.86</v>
      </c>
      <c r="G111" s="1"/>
    </row>
    <row r="112" spans="1:7" x14ac:dyDescent="0.25">
      <c r="A112" s="11"/>
      <c r="B112" s="16">
        <v>1691.43</v>
      </c>
      <c r="C112" s="16">
        <v>838.88</v>
      </c>
      <c r="G112" s="1"/>
    </row>
    <row r="113" spans="1:7" x14ac:dyDescent="0.25">
      <c r="A113" s="11"/>
      <c r="B113" s="16">
        <v>1706.41</v>
      </c>
      <c r="C113" s="16">
        <v>838.9</v>
      </c>
      <c r="G113" s="1"/>
    </row>
    <row r="114" spans="1:7" x14ac:dyDescent="0.25">
      <c r="A114" s="11"/>
      <c r="B114" s="16">
        <v>1719.67</v>
      </c>
      <c r="C114" s="16">
        <v>838.91</v>
      </c>
      <c r="G114" s="1"/>
    </row>
    <row r="115" spans="1:7" x14ac:dyDescent="0.25">
      <c r="A115" s="11"/>
      <c r="B115" s="16">
        <v>1734.6</v>
      </c>
      <c r="C115" s="16">
        <v>838.93</v>
      </c>
      <c r="G115" s="1"/>
    </row>
    <row r="116" spans="1:7" x14ac:dyDescent="0.25">
      <c r="A116" s="11"/>
      <c r="B116" s="16">
        <v>1748.2</v>
      </c>
      <c r="C116" s="16">
        <v>838.94</v>
      </c>
      <c r="G116" s="1"/>
    </row>
    <row r="117" spans="1:7" x14ac:dyDescent="0.25">
      <c r="A117" s="11"/>
      <c r="B117" s="16">
        <v>1762.86</v>
      </c>
      <c r="C117" s="16">
        <v>838.98</v>
      </c>
      <c r="G117" s="1"/>
    </row>
    <row r="118" spans="1:7" x14ac:dyDescent="0.25">
      <c r="A118" s="11"/>
      <c r="B118" s="16">
        <v>1776.36</v>
      </c>
      <c r="C118" s="16" t="s">
        <v>203</v>
      </c>
      <c r="G118" s="1"/>
    </row>
    <row r="119" spans="1:7" x14ac:dyDescent="0.25">
      <c r="A119" s="11"/>
      <c r="B119" s="16">
        <v>1790.61</v>
      </c>
      <c r="C119" s="16">
        <v>839.02</v>
      </c>
      <c r="G119" s="1"/>
    </row>
    <row r="120" spans="1:7" x14ac:dyDescent="0.25">
      <c r="A120" s="11"/>
      <c r="B120" s="16">
        <v>1803.99</v>
      </c>
      <c r="C120" s="16">
        <v>839.05</v>
      </c>
      <c r="G120" s="1"/>
    </row>
    <row r="121" spans="1:7" x14ac:dyDescent="0.25">
      <c r="A121" s="11"/>
      <c r="B121" s="16">
        <v>1819.31</v>
      </c>
      <c r="C121" s="16">
        <v>839.1</v>
      </c>
      <c r="G121" s="1"/>
    </row>
    <row r="122" spans="1:7" x14ac:dyDescent="0.25">
      <c r="A122" s="11"/>
      <c r="B122" s="16">
        <v>1832.39</v>
      </c>
      <c r="C122" s="16">
        <v>839.13</v>
      </c>
      <c r="G122" s="1"/>
    </row>
    <row r="123" spans="1:7" x14ac:dyDescent="0.25">
      <c r="A123" s="11"/>
      <c r="B123" s="16">
        <v>1847.5</v>
      </c>
      <c r="C123" s="16">
        <v>839.16</v>
      </c>
      <c r="G123" s="1"/>
    </row>
    <row r="124" spans="1:7" x14ac:dyDescent="0.25">
      <c r="A124" s="11"/>
      <c r="B124" s="16">
        <v>1860.87</v>
      </c>
      <c r="C124" s="16">
        <v>839.18</v>
      </c>
      <c r="G124" s="1"/>
    </row>
    <row r="125" spans="1:7" x14ac:dyDescent="0.25">
      <c r="A125" s="11"/>
      <c r="B125" s="16">
        <v>1875.73</v>
      </c>
      <c r="C125" s="16">
        <v>839.23</v>
      </c>
      <c r="G125" s="1"/>
    </row>
    <row r="126" spans="1:7" x14ac:dyDescent="0.25">
      <c r="A126" s="11"/>
      <c r="B126" s="16">
        <v>1888.86</v>
      </c>
      <c r="C126" s="16">
        <v>839.25</v>
      </c>
      <c r="G126" s="1"/>
    </row>
    <row r="127" spans="1:7" x14ac:dyDescent="0.25">
      <c r="A127" s="11"/>
      <c r="B127" s="16">
        <v>1903.76</v>
      </c>
      <c r="C127" s="16">
        <v>839.22</v>
      </c>
      <c r="G127" s="1"/>
    </row>
    <row r="128" spans="1:7" x14ac:dyDescent="0.25">
      <c r="A128" s="11"/>
      <c r="B128" s="16">
        <v>1917.16</v>
      </c>
      <c r="C128" s="16">
        <v>839.22</v>
      </c>
      <c r="G128" s="1"/>
    </row>
    <row r="129" spans="1:7" x14ac:dyDescent="0.25">
      <c r="A129" s="11"/>
      <c r="B129" s="16">
        <v>1931.39</v>
      </c>
      <c r="C129" s="16">
        <v>839.23</v>
      </c>
      <c r="G129" s="1"/>
    </row>
    <row r="130" spans="1:7" x14ac:dyDescent="0.25">
      <c r="A130" s="11"/>
      <c r="B130" s="16">
        <v>1944.99</v>
      </c>
      <c r="C130" s="16">
        <v>839.23</v>
      </c>
      <c r="G130" s="1"/>
    </row>
    <row r="131" spans="1:7" x14ac:dyDescent="0.25">
      <c r="A131" s="11"/>
      <c r="B131" s="16">
        <v>1959.27</v>
      </c>
      <c r="C131" s="16">
        <v>839.24</v>
      </c>
      <c r="G131" s="1"/>
    </row>
    <row r="132" spans="1:7" x14ac:dyDescent="0.25">
      <c r="A132" s="11"/>
      <c r="B132" s="16">
        <v>1972.88</v>
      </c>
      <c r="C132" s="16">
        <v>839.27</v>
      </c>
      <c r="G132" s="1"/>
    </row>
    <row r="133" spans="1:7" x14ac:dyDescent="0.25">
      <c r="A133" s="11"/>
      <c r="B133" s="16">
        <v>1987.88</v>
      </c>
      <c r="C133" s="16">
        <v>839.28</v>
      </c>
      <c r="G133" s="1"/>
    </row>
    <row r="134" spans="1:7" x14ac:dyDescent="0.25">
      <c r="A134" s="11"/>
      <c r="B134" s="16">
        <v>2000.91</v>
      </c>
      <c r="C134" s="16">
        <v>839.27</v>
      </c>
      <c r="G134" s="1"/>
    </row>
    <row r="135" spans="1:7" x14ac:dyDescent="0.25">
      <c r="A135" s="11"/>
      <c r="B135" s="16">
        <v>2015.17</v>
      </c>
      <c r="C135" s="16">
        <v>839.29</v>
      </c>
      <c r="G135" s="1"/>
    </row>
    <row r="136" spans="1:7" x14ac:dyDescent="0.25">
      <c r="A136" s="11"/>
      <c r="B136" s="16">
        <v>2028.84</v>
      </c>
      <c r="C136" s="16">
        <v>839.33</v>
      </c>
      <c r="G136" s="1"/>
    </row>
    <row r="137" spans="1:7" x14ac:dyDescent="0.25">
      <c r="A137" s="11"/>
      <c r="B137" s="16">
        <v>2042.84</v>
      </c>
      <c r="C137" s="16">
        <v>839.36</v>
      </c>
      <c r="G137" s="1"/>
    </row>
    <row r="138" spans="1:7" x14ac:dyDescent="0.25">
      <c r="A138" s="11"/>
      <c r="B138" s="16">
        <v>2056.5500000000002</v>
      </c>
      <c r="C138" s="16">
        <v>839.37</v>
      </c>
      <c r="G138" s="1"/>
    </row>
    <row r="139" spans="1:7" x14ac:dyDescent="0.25">
      <c r="A139" s="11"/>
      <c r="B139" s="16">
        <v>2071.2600000000002</v>
      </c>
      <c r="C139" s="16">
        <v>839.41</v>
      </c>
      <c r="G139" s="1"/>
    </row>
    <row r="140" spans="1:7" x14ac:dyDescent="0.25">
      <c r="A140" s="11"/>
      <c r="B140" s="16">
        <v>2084.89</v>
      </c>
      <c r="C140" s="16">
        <v>839.46</v>
      </c>
      <c r="G140" s="1"/>
    </row>
    <row r="141" spans="1:7" x14ac:dyDescent="0.25">
      <c r="A141" s="11"/>
      <c r="B141" s="16">
        <v>2099.7399999999998</v>
      </c>
      <c r="C141" s="16">
        <v>839.47</v>
      </c>
      <c r="G141" s="1"/>
    </row>
    <row r="142" spans="1:7" x14ac:dyDescent="0.25">
      <c r="A142" s="11"/>
      <c r="B142" s="16">
        <v>2113.02</v>
      </c>
      <c r="C142" s="16">
        <v>839.48</v>
      </c>
      <c r="G142" s="1"/>
    </row>
    <row r="143" spans="1:7" x14ac:dyDescent="0.25">
      <c r="A143" s="11"/>
      <c r="B143" s="16">
        <v>2127.5100000000002</v>
      </c>
      <c r="C143" s="16">
        <v>839.5</v>
      </c>
      <c r="G143" s="1"/>
    </row>
    <row r="144" spans="1:7" x14ac:dyDescent="0.25">
      <c r="A144" s="11"/>
      <c r="B144" s="16">
        <v>2139.59</v>
      </c>
      <c r="C144" s="16">
        <v>839.5</v>
      </c>
      <c r="G144" s="1"/>
    </row>
    <row r="145" spans="1:7" x14ac:dyDescent="0.25">
      <c r="A145" s="11"/>
      <c r="B145" s="16">
        <v>2155.87</v>
      </c>
      <c r="C145" s="16">
        <v>839.46</v>
      </c>
      <c r="G145" s="1"/>
    </row>
    <row r="146" spans="1:7" x14ac:dyDescent="0.25">
      <c r="A146" s="11"/>
      <c r="B146" s="16">
        <v>2169.56</v>
      </c>
      <c r="C146" s="16">
        <v>839.24</v>
      </c>
      <c r="G146" s="1"/>
    </row>
    <row r="147" spans="1:7" x14ac:dyDescent="0.25">
      <c r="A147" s="11"/>
      <c r="B147" s="16">
        <v>2183.8200000000002</v>
      </c>
      <c r="C147" s="16">
        <v>838.84</v>
      </c>
      <c r="G147" s="1"/>
    </row>
    <row r="148" spans="1:7" x14ac:dyDescent="0.25">
      <c r="A148" s="11"/>
      <c r="B148" s="16">
        <v>2189.5500000000002</v>
      </c>
      <c r="C148" s="16">
        <v>838.67</v>
      </c>
      <c r="G148" s="1"/>
    </row>
    <row r="149" spans="1:7" x14ac:dyDescent="0.25">
      <c r="A149" s="11"/>
      <c r="B149" s="16">
        <v>2205</v>
      </c>
      <c r="C149" s="16">
        <v>838.17</v>
      </c>
      <c r="D149">
        <f>B149-B74</f>
        <v>1023.05</v>
      </c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AI46"/>
  <sheetViews>
    <sheetView zoomScale="70" zoomScaleNormal="70" workbookViewId="0">
      <selection activeCell="I35" sqref="I35"/>
    </sheetView>
  </sheetViews>
  <sheetFormatPr defaultRowHeight="15" x14ac:dyDescent="0.25"/>
  <cols>
    <col min="2" max="2" width="35.28515625" bestFit="1" customWidth="1"/>
    <col min="8" max="8" width="9.42578125" bestFit="1" customWidth="1"/>
    <col min="10" max="10" width="10.42578125" customWidth="1"/>
    <col min="14" max="14" width="16.5703125" customWidth="1"/>
  </cols>
  <sheetData>
    <row r="1" spans="1:35" x14ac:dyDescent="0.25">
      <c r="A1" t="str">
        <f>версия_</f>
        <v>вер 7.5</v>
      </c>
    </row>
    <row r="3" spans="1:35" x14ac:dyDescent="0.25">
      <c r="B3" s="67" t="s">
        <v>250</v>
      </c>
      <c r="C3" s="67">
        <v>140</v>
      </c>
      <c r="D3" s="67" t="s">
        <v>183</v>
      </c>
    </row>
    <row r="4" spans="1:35" x14ac:dyDescent="0.25">
      <c r="B4" s="67" t="s">
        <v>168</v>
      </c>
      <c r="C4" s="54">
        <v>320</v>
      </c>
      <c r="D4" s="67" t="s">
        <v>169</v>
      </c>
      <c r="AA4" s="174" t="s">
        <v>231</v>
      </c>
      <c r="AB4" s="174"/>
      <c r="AC4" s="174"/>
    </row>
    <row r="5" spans="1:35" x14ac:dyDescent="0.25">
      <c r="B5" s="53" t="s">
        <v>170</v>
      </c>
      <c r="C5" s="54">
        <v>1500</v>
      </c>
      <c r="D5" s="53" t="s">
        <v>171</v>
      </c>
      <c r="G5" t="s">
        <v>185</v>
      </c>
      <c r="H5">
        <v>30</v>
      </c>
      <c r="I5" s="176" t="s">
        <v>227</v>
      </c>
      <c r="J5" s="177"/>
      <c r="K5" s="177"/>
      <c r="L5" s="177"/>
      <c r="M5" s="177"/>
      <c r="N5" s="177"/>
      <c r="O5" s="177"/>
      <c r="P5" s="177"/>
      <c r="Q5" s="178"/>
      <c r="R5" s="172" t="s">
        <v>226</v>
      </c>
      <c r="S5" s="172"/>
      <c r="T5" s="172"/>
      <c r="U5" s="172" t="s">
        <v>226</v>
      </c>
      <c r="V5" s="172"/>
      <c r="W5" s="172"/>
      <c r="X5" s="172" t="s">
        <v>226</v>
      </c>
      <c r="Y5" s="172"/>
      <c r="Z5" s="176"/>
      <c r="AA5" s="172" t="s">
        <v>227</v>
      </c>
      <c r="AB5" s="172"/>
      <c r="AC5" s="172"/>
      <c r="AD5" s="65"/>
      <c r="AE5" s="65"/>
      <c r="AF5" s="65"/>
      <c r="AG5" s="65"/>
      <c r="AH5" s="65"/>
      <c r="AI5" s="66"/>
    </row>
    <row r="6" spans="1:35" x14ac:dyDescent="0.25">
      <c r="B6" s="53" t="s">
        <v>172</v>
      </c>
      <c r="C6" s="54">
        <v>38</v>
      </c>
      <c r="D6" s="53" t="s">
        <v>173</v>
      </c>
      <c r="I6" s="53" t="e">
        <f>mu_cSt</f>
        <v>#VALUE!</v>
      </c>
      <c r="L6" s="53">
        <v>0</v>
      </c>
      <c r="O6" s="53">
        <v>0</v>
      </c>
      <c r="R6" s="53">
        <f>PVT!Rp_m3m3_</f>
        <v>27.58</v>
      </c>
      <c r="S6" s="53">
        <v>6.8949999999999996</v>
      </c>
      <c r="T6" s="53">
        <v>110.32</v>
      </c>
      <c r="U6">
        <f t="shared" ref="U6:Z6" si="0">R6</f>
        <v>27.58</v>
      </c>
      <c r="V6">
        <f t="shared" si="0"/>
        <v>6.8949999999999996</v>
      </c>
      <c r="W6">
        <f t="shared" si="0"/>
        <v>110.32</v>
      </c>
      <c r="X6">
        <f t="shared" si="0"/>
        <v>27.58</v>
      </c>
      <c r="Y6">
        <f t="shared" si="0"/>
        <v>6.8949999999999996</v>
      </c>
      <c r="Z6">
        <f t="shared" si="0"/>
        <v>110.32</v>
      </c>
      <c r="AA6" s="53" t="e">
        <f>I6</f>
        <v>#VALUE!</v>
      </c>
      <c r="AB6" s="53">
        <f>mu_cSt_bigger</f>
        <v>0</v>
      </c>
      <c r="AC6" s="53">
        <f>mu_cSt_smaller</f>
        <v>0</v>
      </c>
    </row>
    <row r="7" spans="1:35" x14ac:dyDescent="0.25">
      <c r="B7" s="53" t="s">
        <v>174</v>
      </c>
      <c r="C7" s="55">
        <f>[1]!ESP_IDbyRate(ESP_rate_nom_)</f>
        <v>1033</v>
      </c>
      <c r="D7" s="53"/>
      <c r="H7" t="s">
        <v>184</v>
      </c>
      <c r="I7" t="s">
        <v>186</v>
      </c>
      <c r="J7" t="s">
        <v>187</v>
      </c>
      <c r="K7" t="s">
        <v>188</v>
      </c>
      <c r="L7" t="s">
        <v>186</v>
      </c>
      <c r="M7" t="s">
        <v>187</v>
      </c>
      <c r="N7" t="s">
        <v>188</v>
      </c>
      <c r="O7" t="s">
        <v>186</v>
      </c>
      <c r="P7" t="s">
        <v>187</v>
      </c>
      <c r="Q7" t="s">
        <v>188</v>
      </c>
      <c r="R7" s="173" t="s">
        <v>223</v>
      </c>
      <c r="S7" s="173"/>
      <c r="T7" s="173"/>
      <c r="U7" s="175" t="s">
        <v>188</v>
      </c>
      <c r="V7" s="175"/>
      <c r="W7" s="175"/>
      <c r="X7" s="175" t="s">
        <v>187</v>
      </c>
      <c r="Y7" s="175"/>
      <c r="Z7" s="175"/>
      <c r="AA7" s="173" t="s">
        <v>188</v>
      </c>
      <c r="AB7" s="173"/>
      <c r="AC7" s="173"/>
    </row>
    <row r="8" spans="1:35" x14ac:dyDescent="0.25">
      <c r="B8" s="53" t="s">
        <v>175</v>
      </c>
      <c r="C8" s="55" t="str">
        <f>[1]!ESP_name(ESP_ID_)</f>
        <v>ЭЦН5А-320Э</v>
      </c>
      <c r="D8" s="53"/>
      <c r="G8">
        <v>1</v>
      </c>
      <c r="H8" s="56">
        <v>1</v>
      </c>
      <c r="I8" s="50">
        <v>1423.0003437835012</v>
      </c>
      <c r="J8" s="50">
        <v>48.1504503568991</v>
      </c>
      <c r="K8" s="58">
        <v>4.2018636325146389E-3</v>
      </c>
      <c r="L8">
        <v>1423.0003437835012</v>
      </c>
      <c r="M8">
        <v>48.1504503568991</v>
      </c>
      <c r="N8">
        <v>6.5251547677530166E-3</v>
      </c>
      <c r="O8">
        <v>1466.1658504620191</v>
      </c>
      <c r="P8">
        <v>28.085467099934462</v>
      </c>
      <c r="Q8">
        <v>6.5251547677530166E-3</v>
      </c>
      <c r="R8">
        <v>131.86742816154376</v>
      </c>
      <c r="S8">
        <v>124.2853800028843</v>
      </c>
      <c r="T8">
        <v>141.91146501860595</v>
      </c>
      <c r="U8">
        <v>4.7220977984040345E-3</v>
      </c>
      <c r="V8">
        <v>4.1529134715387571E-3</v>
      </c>
      <c r="W8">
        <v>5.3780081636516236E-3</v>
      </c>
      <c r="X8">
        <v>34021.789743915477</v>
      </c>
      <c r="Y8">
        <v>37836.4441813866</v>
      </c>
      <c r="Z8">
        <v>31783.566346877884</v>
      </c>
      <c r="AA8">
        <v>4.7220977984040345E-3</v>
      </c>
      <c r="AB8">
        <v>4.7220977984040345E-3</v>
      </c>
      <c r="AC8">
        <v>4.7220977984040345E-3</v>
      </c>
    </row>
    <row r="9" spans="1:35" x14ac:dyDescent="0.25">
      <c r="B9" s="53" t="s">
        <v>176</v>
      </c>
      <c r="C9" s="55">
        <f>[1]!ESP_maxRate_m3day(ESP_freq_,ESP_ID_)*1</f>
        <v>418</v>
      </c>
      <c r="D9" s="53"/>
      <c r="G9">
        <v>2</v>
      </c>
      <c r="H9" s="57">
        <f t="shared" ref="H9:H29" si="1">(ESP_qmax_)/(pts_-1)+H8</f>
        <v>15.413793103448276</v>
      </c>
      <c r="I9" s="50">
        <v>1383.8725406895796</v>
      </c>
      <c r="J9" s="50">
        <v>47.457905914418042</v>
      </c>
      <c r="K9" s="58">
        <v>6.2804778508766271E-2</v>
      </c>
      <c r="L9">
        <v>1383.8725406895796</v>
      </c>
      <c r="M9">
        <v>47.457905914418042</v>
      </c>
      <c r="N9">
        <v>9.7935427543075507E-2</v>
      </c>
      <c r="O9">
        <v>1435.7342473006936</v>
      </c>
      <c r="P9">
        <v>27.710631858165417</v>
      </c>
      <c r="Q9">
        <v>9.7935427543075507E-2</v>
      </c>
      <c r="R9">
        <v>128.69652601391331</v>
      </c>
      <c r="S9">
        <v>120.97872876991619</v>
      </c>
      <c r="T9">
        <v>138.69143873760484</v>
      </c>
      <c r="U9">
        <v>7.2128821933013496E-2</v>
      </c>
      <c r="V9">
        <v>6.3279391520784295E-2</v>
      </c>
      <c r="W9">
        <v>8.2255113372529651E-2</v>
      </c>
      <c r="X9">
        <v>33507.845307236654</v>
      </c>
      <c r="Y9">
        <v>37255.755756158636</v>
      </c>
      <c r="Z9">
        <v>31313.430601702094</v>
      </c>
      <c r="AA9">
        <v>7.2128821933013496E-2</v>
      </c>
      <c r="AB9">
        <v>7.2128821933013496E-2</v>
      </c>
      <c r="AC9">
        <v>7.2128821933013496E-2</v>
      </c>
    </row>
    <row r="10" spans="1:35" x14ac:dyDescent="0.25">
      <c r="B10" s="53" t="s">
        <v>177</v>
      </c>
      <c r="C10" s="55">
        <f>INT(ESP_head_nom_/[1]!ESP_head_m(ESP_rate_nom_,1,,ESP_ID_))</f>
        <v>339</v>
      </c>
      <c r="D10" s="53" t="s">
        <v>178</v>
      </c>
      <c r="G10">
        <v>3</v>
      </c>
      <c r="H10" s="57">
        <f t="shared" si="1"/>
        <v>29.827586206896552</v>
      </c>
      <c r="I10" s="50">
        <v>1349.4367335272127</v>
      </c>
      <c r="J10" s="50">
        <v>47.091922427734453</v>
      </c>
      <c r="K10" s="58">
        <v>0.11685847176255383</v>
      </c>
      <c r="L10">
        <v>1349.4367335272127</v>
      </c>
      <c r="M10">
        <v>47.091922427734453</v>
      </c>
      <c r="N10">
        <v>0.18297772611658739</v>
      </c>
      <c r="O10">
        <v>1409.2513592060304</v>
      </c>
      <c r="P10">
        <v>27.49080496812876</v>
      </c>
      <c r="Q10">
        <v>0.18297772611658739</v>
      </c>
      <c r="R10">
        <v>125.93384168030187</v>
      </c>
      <c r="S10">
        <v>118.09926767239619</v>
      </c>
      <c r="T10">
        <v>135.89007336541272</v>
      </c>
      <c r="U10">
        <v>0.137774690582665</v>
      </c>
      <c r="V10">
        <v>0.12049267763526206</v>
      </c>
      <c r="W10">
        <v>0.15737276857036828</v>
      </c>
      <c r="X10">
        <v>33219.358761773932</v>
      </c>
      <c r="Y10">
        <v>36960.359779740385</v>
      </c>
      <c r="Z10">
        <v>31039.92474145467</v>
      </c>
      <c r="AA10">
        <v>0.137774690582665</v>
      </c>
      <c r="AB10">
        <v>0.137774690582665</v>
      </c>
      <c r="AC10">
        <v>0.137774690582665</v>
      </c>
    </row>
    <row r="11" spans="1:35" x14ac:dyDescent="0.25">
      <c r="B11" s="53" t="s">
        <v>221</v>
      </c>
      <c r="C11" s="55">
        <v>2</v>
      </c>
      <c r="D11" s="53" t="s">
        <v>222</v>
      </c>
      <c r="G11">
        <v>4</v>
      </c>
      <c r="H11" s="57">
        <f t="shared" si="1"/>
        <v>44.241379310344826</v>
      </c>
      <c r="I11" s="50">
        <v>1317.3620106927963</v>
      </c>
      <c r="J11" s="50">
        <v>47.069455360532757</v>
      </c>
      <c r="K11" s="58">
        <v>0.16616658764540124</v>
      </c>
      <c r="L11">
        <v>1317.3620106927963</v>
      </c>
      <c r="M11">
        <v>47.069455360532757</v>
      </c>
      <c r="N11">
        <v>0.26137713925827116</v>
      </c>
      <c r="O11">
        <v>1384.9009382232398</v>
      </c>
      <c r="P11">
        <v>27.435045632388704</v>
      </c>
      <c r="Q11">
        <v>0.26137713925827116</v>
      </c>
      <c r="R11">
        <v>123.37682839927217</v>
      </c>
      <c r="S11">
        <v>115.41832739074729</v>
      </c>
      <c r="T11">
        <v>133.30536305093457</v>
      </c>
      <c r="U11">
        <v>0.20053923983695404</v>
      </c>
      <c r="V11">
        <v>0.17465243313593881</v>
      </c>
      <c r="W11">
        <v>0.22954281296815146</v>
      </c>
      <c r="X11">
        <v>33165.193014564902</v>
      </c>
      <c r="Y11">
        <v>36961.943611111077</v>
      </c>
      <c r="Z11">
        <v>30971.229606995126</v>
      </c>
      <c r="AA11">
        <v>0.20053923983695404</v>
      </c>
      <c r="AB11">
        <v>0.20053923983695404</v>
      </c>
      <c r="AC11">
        <v>0.20053923983695404</v>
      </c>
    </row>
    <row r="12" spans="1:35" x14ac:dyDescent="0.25">
      <c r="B12" s="63" t="s">
        <v>225</v>
      </c>
      <c r="C12" s="55">
        <v>4</v>
      </c>
      <c r="D12" s="55" t="s">
        <v>222</v>
      </c>
      <c r="G12">
        <v>5</v>
      </c>
      <c r="H12" s="57">
        <f t="shared" si="1"/>
        <v>58.655172413793103</v>
      </c>
      <c r="I12" s="50">
        <v>1285.8138918932718</v>
      </c>
      <c r="J12" s="50">
        <v>47.382460051277867</v>
      </c>
      <c r="K12" s="58">
        <v>0.21065446314618291</v>
      </c>
      <c r="L12">
        <v>1285.8138918932718</v>
      </c>
      <c r="M12">
        <v>47.382460051277867</v>
      </c>
      <c r="N12">
        <v>0.33300393689004698</v>
      </c>
      <c r="O12">
        <v>1361.1922954176353</v>
      </c>
      <c r="P12">
        <v>27.542289867893231</v>
      </c>
      <c r="Q12">
        <v>0.33300393689004698</v>
      </c>
      <c r="R12">
        <v>120.86378624392424</v>
      </c>
      <c r="S12">
        <v>112.75754255377504</v>
      </c>
      <c r="T12">
        <v>130.77395203877268</v>
      </c>
      <c r="U12">
        <v>0.25911606476406623</v>
      </c>
      <c r="V12">
        <v>0.22446724808492433</v>
      </c>
      <c r="W12">
        <v>0.29735682999451812</v>
      </c>
      <c r="X12">
        <v>33338.568635908254</v>
      </c>
      <c r="Y12">
        <v>37249.387975973332</v>
      </c>
      <c r="Z12">
        <v>31102.505688844194</v>
      </c>
      <c r="AA12">
        <v>0.25911606476406623</v>
      </c>
      <c r="AB12">
        <v>0.25911606476406623</v>
      </c>
      <c r="AC12">
        <v>0.25911606476406623</v>
      </c>
    </row>
    <row r="13" spans="1:35" x14ac:dyDescent="0.25">
      <c r="B13" t="s">
        <v>179</v>
      </c>
      <c r="C13">
        <v>1100</v>
      </c>
      <c r="D13" t="s">
        <v>182</v>
      </c>
      <c r="G13">
        <v>6</v>
      </c>
      <c r="H13" s="57">
        <f t="shared" si="1"/>
        <v>73.068965517241381</v>
      </c>
      <c r="I13" s="50">
        <v>1253.4000721614057</v>
      </c>
      <c r="J13" s="50">
        <v>48.001782667368644</v>
      </c>
      <c r="K13" s="58">
        <v>0.25034879991204928</v>
      </c>
      <c r="L13">
        <v>1253.4000721614057</v>
      </c>
      <c r="M13">
        <v>48.001782667368644</v>
      </c>
      <c r="N13">
        <v>0.39785228821193758</v>
      </c>
      <c r="O13">
        <v>1336.9325888207607</v>
      </c>
      <c r="P13">
        <v>27.802736090374705</v>
      </c>
      <c r="Q13">
        <v>0.39785228821193758</v>
      </c>
      <c r="R13">
        <v>118.26970662495438</v>
      </c>
      <c r="S13">
        <v>109.98322096214321</v>
      </c>
      <c r="T13">
        <v>128.16753398871529</v>
      </c>
      <c r="U13">
        <v>0.31230945314950553</v>
      </c>
      <c r="V13">
        <v>0.26882348850069121</v>
      </c>
      <c r="W13">
        <v>0.35948816200055445</v>
      </c>
      <c r="X13">
        <v>33719.401862158702</v>
      </c>
      <c r="Y13">
        <v>37792.531641309492</v>
      </c>
      <c r="Z13">
        <v>31417.771502818006</v>
      </c>
      <c r="AA13">
        <v>0.31230945314950553</v>
      </c>
      <c r="AB13">
        <v>0.31230945314950553</v>
      </c>
      <c r="AC13">
        <v>0.31230945314950553</v>
      </c>
    </row>
    <row r="14" spans="1:35" x14ac:dyDescent="0.25">
      <c r="B14" t="s">
        <v>180</v>
      </c>
      <c r="C14">
        <v>30</v>
      </c>
      <c r="D14" t="s">
        <v>183</v>
      </c>
      <c r="G14">
        <v>7</v>
      </c>
      <c r="H14" s="57">
        <f t="shared" si="1"/>
        <v>87.482758620689651</v>
      </c>
      <c r="I14" s="50">
        <v>1219.1174610091182</v>
      </c>
      <c r="J14" s="50">
        <v>48.881051159291196</v>
      </c>
      <c r="K14" s="58">
        <v>0.28535733616935149</v>
      </c>
      <c r="L14">
        <v>1219.1174610091182</v>
      </c>
      <c r="M14">
        <v>48.881051159291196</v>
      </c>
      <c r="N14">
        <v>0.45601897982823331</v>
      </c>
      <c r="O14">
        <v>1311.1991113765134</v>
      </c>
      <c r="P14">
        <v>28.199230698750522</v>
      </c>
      <c r="Q14">
        <v>0.45601897982823331</v>
      </c>
      <c r="R14">
        <v>115.50221841584633</v>
      </c>
      <c r="S14">
        <v>107.00085851437288</v>
      </c>
      <c r="T14">
        <v>125.38924270813649</v>
      </c>
      <c r="U14">
        <v>0.35924720053477627</v>
      </c>
      <c r="V14">
        <v>0.30699911702680999</v>
      </c>
      <c r="W14">
        <v>0.41491852590409828</v>
      </c>
      <c r="X14">
        <v>34276.692322167226</v>
      </c>
      <c r="Y14">
        <v>38545.981120445424</v>
      </c>
      <c r="Z14">
        <v>31891.778848254504</v>
      </c>
      <c r="AA14">
        <v>0.35924720053477627</v>
      </c>
      <c r="AB14">
        <v>0.35924720053477627</v>
      </c>
      <c r="AC14">
        <v>0.35924720053477627</v>
      </c>
    </row>
    <row r="15" spans="1:35" x14ac:dyDescent="0.25">
      <c r="G15">
        <v>8</v>
      </c>
      <c r="H15" s="57">
        <f t="shared" si="1"/>
        <v>101.89655172413792</v>
      </c>
      <c r="I15" s="50">
        <v>1182.3005167188603</v>
      </c>
      <c r="J15" s="50">
        <v>49.960566214772264</v>
      </c>
      <c r="K15" s="58">
        <v>0.31584851864456687</v>
      </c>
      <c r="L15">
        <v>1182.3005167188603</v>
      </c>
      <c r="M15">
        <v>49.960566214772264</v>
      </c>
      <c r="N15">
        <v>0.50768213387365813</v>
      </c>
      <c r="O15">
        <v>1283.3115788872694</v>
      </c>
      <c r="P15">
        <v>28.708653659523737</v>
      </c>
      <c r="Q15">
        <v>0.50768213387365813</v>
      </c>
      <c r="R15">
        <v>112.49760202035125</v>
      </c>
      <c r="S15">
        <v>103.74976341438375</v>
      </c>
      <c r="T15">
        <v>122.37008195328607</v>
      </c>
      <c r="U15">
        <v>0.39948214204946025</v>
      </c>
      <c r="V15">
        <v>0.33873885685272725</v>
      </c>
      <c r="W15">
        <v>0.46305917087435261</v>
      </c>
      <c r="X15">
        <v>34970.958814626661</v>
      </c>
      <c r="Y15">
        <v>39452.95978862729</v>
      </c>
      <c r="Z15">
        <v>32491.89728196539</v>
      </c>
      <c r="AA15">
        <v>0.39948214204946025</v>
      </c>
      <c r="AB15">
        <v>0.39948214204946025</v>
      </c>
      <c r="AC15">
        <v>0.39948214204946025</v>
      </c>
    </row>
    <row r="16" spans="1:35" x14ac:dyDescent="0.25">
      <c r="B16" t="s">
        <v>181</v>
      </c>
      <c r="C16">
        <f>Htub_m_</f>
        <v>830</v>
      </c>
      <c r="D16" t="s">
        <v>38</v>
      </c>
      <c r="G16">
        <v>9</v>
      </c>
      <c r="H16" s="57">
        <f t="shared" si="1"/>
        <v>116.31034482758619</v>
      </c>
      <c r="I16" s="50">
        <v>1142.5708757730411</v>
      </c>
      <c r="J16" s="50">
        <v>51.171192212932503</v>
      </c>
      <c r="K16" s="58">
        <v>0.34203117448522374</v>
      </c>
      <c r="L16">
        <v>1142.5708757730411</v>
      </c>
      <c r="M16">
        <v>51.171192212932503</v>
      </c>
      <c r="N16">
        <v>0.55307992613953483</v>
      </c>
      <c r="O16">
        <v>1252.804417960007</v>
      </c>
      <c r="P16">
        <v>29.303304091183694</v>
      </c>
      <c r="Q16">
        <v>0.55307992613953483</v>
      </c>
      <c r="R16">
        <v>109.21685652622895</v>
      </c>
      <c r="S16">
        <v>100.19777554323554</v>
      </c>
      <c r="T16">
        <v>119.06540877188647</v>
      </c>
      <c r="U16">
        <v>0.4329892699558846</v>
      </c>
      <c r="V16">
        <v>0.36421243772486328</v>
      </c>
      <c r="W16">
        <v>0.50376780982369063</v>
      </c>
      <c r="X16">
        <v>35756.708859795239</v>
      </c>
      <c r="Y16">
        <v>40449.178339208891</v>
      </c>
      <c r="Z16">
        <v>33180.018590988038</v>
      </c>
      <c r="AA16">
        <v>0.4329892699558846</v>
      </c>
      <c r="AB16">
        <v>0.4329892699558846</v>
      </c>
      <c r="AC16">
        <v>0.4329892699558846</v>
      </c>
    </row>
    <row r="17" spans="2:29" x14ac:dyDescent="0.25">
      <c r="G17">
        <v>10</v>
      </c>
      <c r="H17" s="57">
        <f t="shared" si="1"/>
        <v>130.72413793103448</v>
      </c>
      <c r="I17" s="50">
        <v>1099.7882774215025</v>
      </c>
      <c r="J17" s="50">
        <v>52.438248178439927</v>
      </c>
      <c r="K17" s="58">
        <v>0.36413418318082658</v>
      </c>
      <c r="L17">
        <v>1099.7882774215025</v>
      </c>
      <c r="M17">
        <v>52.438248178439927</v>
      </c>
      <c r="N17">
        <v>0.59248930419994972</v>
      </c>
      <c r="O17">
        <v>1219.399053952432</v>
      </c>
      <c r="P17">
        <v>29.952285848606643</v>
      </c>
      <c r="Q17">
        <v>0.59248930419994972</v>
      </c>
      <c r="R17">
        <v>105.64181664559482</v>
      </c>
      <c r="S17">
        <v>96.336080364336624</v>
      </c>
      <c r="T17">
        <v>115.4514624703906</v>
      </c>
      <c r="U17">
        <v>0.46008969845824005</v>
      </c>
      <c r="V17">
        <v>0.38390311191209309</v>
      </c>
      <c r="W17">
        <v>0.53728698405834951</v>
      </c>
      <c r="X17">
        <v>36584.921248556544</v>
      </c>
      <c r="Y17">
        <v>41466.703358554201</v>
      </c>
      <c r="Z17">
        <v>33914.490276179495</v>
      </c>
      <c r="AA17">
        <v>0.46008969845824005</v>
      </c>
      <c r="AB17">
        <v>0.46008969845824005</v>
      </c>
      <c r="AC17">
        <v>0.46008969845824005</v>
      </c>
    </row>
    <row r="18" spans="2:29" x14ac:dyDescent="0.25">
      <c r="B18" t="s">
        <v>219</v>
      </c>
      <c r="C18" t="e">
        <f>mu_cSt</f>
        <v>#VALUE!</v>
      </c>
      <c r="G18">
        <v>11</v>
      </c>
      <c r="H18" s="57">
        <f t="shared" si="1"/>
        <v>145.13793103448276</v>
      </c>
      <c r="I18" s="50">
        <v>1046.4912668069258</v>
      </c>
      <c r="J18" s="50">
        <v>53.685398735663185</v>
      </c>
      <c r="K18" s="58">
        <v>0.38238614848378139</v>
      </c>
      <c r="L18">
        <v>1046.4912668069258</v>
      </c>
      <c r="M18">
        <v>53.685398735663185</v>
      </c>
      <c r="N18">
        <v>0.6262047055379184</v>
      </c>
      <c r="O18">
        <v>1182.9761989191024</v>
      </c>
      <c r="P18">
        <v>30.622893107456409</v>
      </c>
      <c r="Q18">
        <v>0.6262047055379184</v>
      </c>
      <c r="R18">
        <v>101.77132227078434</v>
      </c>
      <c r="S18">
        <v>92.174123526753547</v>
      </c>
      <c r="T18">
        <v>111.52190147101368</v>
      </c>
      <c r="U18">
        <v>0.48133962351218917</v>
      </c>
      <c r="V18">
        <v>0.39847383073888371</v>
      </c>
      <c r="W18">
        <v>0.56413894551420896</v>
      </c>
      <c r="X18">
        <v>37405.519577618485</v>
      </c>
      <c r="Y18">
        <v>42437.80154280446</v>
      </c>
      <c r="Z18">
        <v>34652.083989140738</v>
      </c>
      <c r="AA18">
        <v>0.48133962351218917</v>
      </c>
      <c r="AB18">
        <v>0.48133962351218917</v>
      </c>
      <c r="AC18">
        <v>0.48133962351218917</v>
      </c>
    </row>
    <row r="19" spans="2:29" x14ac:dyDescent="0.25">
      <c r="G19">
        <v>12</v>
      </c>
      <c r="H19" s="57">
        <f t="shared" si="1"/>
        <v>159.55172413793105</v>
      </c>
      <c r="I19" s="50">
        <v>988.90817680095449</v>
      </c>
      <c r="J19" s="50">
        <v>54.838545062824913</v>
      </c>
      <c r="K19" s="58">
        <v>0.39699507033032022</v>
      </c>
      <c r="L19">
        <v>988.90817680095449</v>
      </c>
      <c r="M19">
        <v>54.838545062824913</v>
      </c>
      <c r="N19">
        <v>0.65451677567155109</v>
      </c>
      <c r="O19">
        <v>1143.5481395575514</v>
      </c>
      <c r="P19">
        <v>31.281995948584981</v>
      </c>
      <c r="Q19">
        <v>0.65451677567155109</v>
      </c>
      <c r="R19">
        <v>97.61744551274198</v>
      </c>
      <c r="S19">
        <v>87.734634297873498</v>
      </c>
      <c r="T19">
        <v>107.28190415707007</v>
      </c>
      <c r="U19">
        <v>0.49741525782267537</v>
      </c>
      <c r="V19">
        <v>0.40864307791328958</v>
      </c>
      <c r="W19">
        <v>0.58499841809710318</v>
      </c>
      <c r="X19">
        <v>38169.817784012812</v>
      </c>
      <c r="Y19">
        <v>43298.74209828856</v>
      </c>
      <c r="Z19">
        <v>35349.82251883288</v>
      </c>
      <c r="AA19">
        <v>0.49741525782267537</v>
      </c>
      <c r="AB19">
        <v>0.49741525782267537</v>
      </c>
      <c r="AC19">
        <v>0.49741525782267537</v>
      </c>
    </row>
    <row r="20" spans="2:29" x14ac:dyDescent="0.25">
      <c r="B20" t="s">
        <v>407</v>
      </c>
      <c r="C20">
        <v>300</v>
      </c>
      <c r="D20" t="s">
        <v>220</v>
      </c>
      <c r="G20">
        <v>13</v>
      </c>
      <c r="H20" s="57">
        <f t="shared" si="1"/>
        <v>173.96551724137933</v>
      </c>
      <c r="I20" s="50">
        <v>931.21873682918556</v>
      </c>
      <c r="J20" s="50">
        <v>55.829715846155167</v>
      </c>
      <c r="K20" s="58">
        <v>0.40812801676142701</v>
      </c>
      <c r="L20">
        <v>931.21873682918556</v>
      </c>
      <c r="M20">
        <v>55.829715846155167</v>
      </c>
      <c r="N20">
        <v>0.67769108628021713</v>
      </c>
      <c r="O20">
        <v>1101.2310251544136</v>
      </c>
      <c r="P20">
        <v>31.897425942433181</v>
      </c>
      <c r="Q20">
        <v>0.67769108628021713</v>
      </c>
      <c r="R20">
        <v>93.200451766804875</v>
      </c>
      <c r="S20">
        <v>82.867208006453851</v>
      </c>
      <c r="T20">
        <v>102.74647933769069</v>
      </c>
      <c r="U20">
        <v>0.50900503953078846</v>
      </c>
      <c r="V20">
        <v>0.41418498410687243</v>
      </c>
      <c r="W20">
        <v>0.60058049716121931</v>
      </c>
      <c r="X20">
        <v>38832.881647641712</v>
      </c>
      <c r="Y20">
        <v>43992.567848920211</v>
      </c>
      <c r="Z20">
        <v>35967.319407933996</v>
      </c>
      <c r="AA20">
        <v>0.50900503953078846</v>
      </c>
      <c r="AB20">
        <v>0.50900503953078846</v>
      </c>
      <c r="AC20">
        <v>0.50900503953078846</v>
      </c>
    </row>
    <row r="21" spans="2:29" x14ac:dyDescent="0.25">
      <c r="G21">
        <v>14</v>
      </c>
      <c r="H21" s="57">
        <f t="shared" si="1"/>
        <v>188.37931034482762</v>
      </c>
      <c r="I21" s="50">
        <v>873.92497310683802</v>
      </c>
      <c r="J21" s="50">
        <v>56.600958234044668</v>
      </c>
      <c r="K21" s="58">
        <v>0.41589079584376187</v>
      </c>
      <c r="L21">
        <v>873.92497310683802</v>
      </c>
      <c r="M21">
        <v>56.600958234044668</v>
      </c>
      <c r="N21">
        <v>0.6959468533307116</v>
      </c>
      <c r="O21">
        <v>1056.217155531549</v>
      </c>
      <c r="P21">
        <v>32.439361733431262</v>
      </c>
      <c r="Q21">
        <v>0.6959468533307116</v>
      </c>
      <c r="R21">
        <v>88.376219692968135</v>
      </c>
      <c r="S21">
        <v>77.524598610305858</v>
      </c>
      <c r="T21">
        <v>97.934941008099216</v>
      </c>
      <c r="U21">
        <v>0.51576295979444908</v>
      </c>
      <c r="V21">
        <v>0.41501780089979867</v>
      </c>
      <c r="W21">
        <v>0.61153548003361025</v>
      </c>
      <c r="X21">
        <v>39354.140764139724</v>
      </c>
      <c r="Y21">
        <v>44474.447090862814</v>
      </c>
      <c r="Z21">
        <v>36468.998743688891</v>
      </c>
      <c r="AA21">
        <v>0.51576295979444908</v>
      </c>
      <c r="AB21">
        <v>0.51576295979444908</v>
      </c>
      <c r="AC21">
        <v>0.51576295979444908</v>
      </c>
    </row>
    <row r="22" spans="2:29" x14ac:dyDescent="0.25">
      <c r="G22">
        <v>15</v>
      </c>
      <c r="H22" s="57">
        <f t="shared" si="1"/>
        <v>202.7931034482759</v>
      </c>
      <c r="I22" s="50">
        <v>815.46127407313293</v>
      </c>
      <c r="J22" s="50">
        <v>57.108228791198165</v>
      </c>
      <c r="K22" s="58">
        <v>0.42030762759058737</v>
      </c>
      <c r="L22">
        <v>815.46127407313293</v>
      </c>
      <c r="M22">
        <v>57.108228791198165</v>
      </c>
      <c r="N22">
        <v>0.70943565520341989</v>
      </c>
      <c r="O22">
        <v>1008.7472689921658</v>
      </c>
      <c r="P22">
        <v>32.881714624399578</v>
      </c>
      <c r="Q22">
        <v>0.70943565520341989</v>
      </c>
      <c r="R22">
        <v>83.235148662821302</v>
      </c>
      <c r="S22">
        <v>72.06280637564474</v>
      </c>
      <c r="T22">
        <v>92.753956095323559</v>
      </c>
      <c r="U22">
        <v>0.51835479418154184</v>
      </c>
      <c r="V22">
        <v>0.41302059682051595</v>
      </c>
      <c r="W22">
        <v>0.61764082159907896</v>
      </c>
      <c r="X22">
        <v>39704.197970550907</v>
      </c>
      <c r="Y22">
        <v>44716.791349055362</v>
      </c>
      <c r="Z22">
        <v>36824.891821841593</v>
      </c>
      <c r="AA22">
        <v>0.51835479418154184</v>
      </c>
      <c r="AB22">
        <v>0.51835479418154184</v>
      </c>
      <c r="AC22">
        <v>0.51835479418154184</v>
      </c>
    </row>
    <row r="23" spans="2:29" x14ac:dyDescent="0.25">
      <c r="G23">
        <v>16</v>
      </c>
      <c r="H23" s="57">
        <f t="shared" si="1"/>
        <v>217.20689655172418</v>
      </c>
      <c r="I23" s="50">
        <v>756.18580000096404</v>
      </c>
      <c r="J23" s="50">
        <v>57.325284452787876</v>
      </c>
      <c r="K23" s="58">
        <v>0.42130081588269208</v>
      </c>
      <c r="L23">
        <v>756.18580000096404</v>
      </c>
      <c r="M23">
        <v>57.325284452787876</v>
      </c>
      <c r="N23">
        <v>0.71822015081848323</v>
      </c>
      <c r="O23">
        <v>959.08283026694778</v>
      </c>
      <c r="P23">
        <v>33.203514160949183</v>
      </c>
      <c r="Q23">
        <v>0.71822015081848323</v>
      </c>
      <c r="R23">
        <v>77.956170933940939</v>
      </c>
      <c r="S23">
        <v>66.576781399412312</v>
      </c>
      <c r="T23">
        <v>87.386212968210032</v>
      </c>
      <c r="U23">
        <v>0.51792286105739216</v>
      </c>
      <c r="V23">
        <v>0.40874038930403139</v>
      </c>
      <c r="W23">
        <v>0.62017085766234692</v>
      </c>
      <c r="X23">
        <v>39865.089939157035</v>
      </c>
      <c r="Y23">
        <v>44709.198169115305</v>
      </c>
      <c r="Z23">
        <v>37016.267761296695</v>
      </c>
      <c r="AA23">
        <v>0.51792286105739216</v>
      </c>
      <c r="AB23">
        <v>0.51792286105739216</v>
      </c>
      <c r="AC23">
        <v>0.51792286105739216</v>
      </c>
    </row>
    <row r="24" spans="2:29" x14ac:dyDescent="0.25">
      <c r="G24">
        <v>17</v>
      </c>
      <c r="H24" s="57">
        <f t="shared" si="1"/>
        <v>231.62068965517247</v>
      </c>
      <c r="I24" s="50">
        <v>696.38373979478058</v>
      </c>
      <c r="J24" s="50">
        <v>57.24757347860676</v>
      </c>
      <c r="K24" s="58">
        <v>0.41867042038931668</v>
      </c>
      <c r="L24">
        <v>696.38373979478058</v>
      </c>
      <c r="M24">
        <v>57.24757347860676</v>
      </c>
      <c r="N24">
        <v>0.72225279776196305</v>
      </c>
      <c r="O24">
        <v>907.47831846017618</v>
      </c>
      <c r="P24">
        <v>33.390293715882464</v>
      </c>
      <c r="Q24">
        <v>0.72225279776196305</v>
      </c>
      <c r="R24">
        <v>72.599715991008438</v>
      </c>
      <c r="S24">
        <v>61.087546112802912</v>
      </c>
      <c r="T24">
        <v>81.761697882425054</v>
      </c>
      <c r="U24">
        <v>0.51482083747093532</v>
      </c>
      <c r="V24">
        <v>0.40210958414894843</v>
      </c>
      <c r="W24">
        <v>0.61922508663085207</v>
      </c>
      <c r="X24">
        <v>39830.683129505742</v>
      </c>
      <c r="Y24">
        <v>44463.117261334759</v>
      </c>
      <c r="Z24">
        <v>37013.645682534836</v>
      </c>
      <c r="AA24">
        <v>0.51482083747093532</v>
      </c>
      <c r="AB24">
        <v>0.51482083747093532</v>
      </c>
      <c r="AC24">
        <v>0.51482083747093532</v>
      </c>
    </row>
    <row r="25" spans="2:29" x14ac:dyDescent="0.25">
      <c r="G25">
        <v>18</v>
      </c>
      <c r="H25" s="57">
        <f t="shared" si="1"/>
        <v>246.03448275862075</v>
      </c>
      <c r="I25" s="50">
        <v>636.23262833671288</v>
      </c>
      <c r="J25" s="50">
        <v>56.896126407221878</v>
      </c>
      <c r="K25" s="58">
        <v>0.41207392848907937</v>
      </c>
      <c r="L25">
        <v>636.23262833671288</v>
      </c>
      <c r="M25">
        <v>56.896126407221878</v>
      </c>
      <c r="N25">
        <v>0.72135457041200812</v>
      </c>
      <c r="O25">
        <v>854.15351499585699</v>
      </c>
      <c r="P25">
        <v>33.435476073593804</v>
      </c>
      <c r="Q25">
        <v>0.72135457041200812</v>
      </c>
      <c r="R25">
        <v>67.187896690035231</v>
      </c>
      <c r="S25">
        <v>55.513133729454225</v>
      </c>
      <c r="T25">
        <v>75.938195327554112</v>
      </c>
      <c r="U25">
        <v>0.50894654728651778</v>
      </c>
      <c r="V25">
        <v>0.39207336329475595</v>
      </c>
      <c r="W25">
        <v>0.61468906142642921</v>
      </c>
      <c r="X25">
        <v>39609.610380984283</v>
      </c>
      <c r="Y25">
        <v>44015.443100339086</v>
      </c>
      <c r="Z25">
        <v>36820.50496857494</v>
      </c>
      <c r="AA25">
        <v>0.50894654728651778</v>
      </c>
      <c r="AB25">
        <v>0.50894654728651778</v>
      </c>
      <c r="AC25">
        <v>0.50894654728651778</v>
      </c>
    </row>
    <row r="26" spans="2:29" x14ac:dyDescent="0.25">
      <c r="G26">
        <v>19</v>
      </c>
      <c r="H26" s="57">
        <f t="shared" si="1"/>
        <v>260.44827586206901</v>
      </c>
      <c r="I26" s="50">
        <v>575.77038413970934</v>
      </c>
      <c r="J26" s="50">
        <v>56.32144701012777</v>
      </c>
      <c r="K26" s="58">
        <v>0.40100592719090022</v>
      </c>
      <c r="L26">
        <v>575.77038413970934</v>
      </c>
      <c r="M26">
        <v>56.32144701012777</v>
      </c>
      <c r="N26">
        <v>0.71519367806501777</v>
      </c>
      <c r="O26">
        <v>799.26579156384093</v>
      </c>
      <c r="P26">
        <v>33.341759014470199</v>
      </c>
      <c r="Q26">
        <v>0.71519367806501777</v>
      </c>
      <c r="R26">
        <v>61.658821720575204</v>
      </c>
      <c r="S26">
        <v>49.840029501561844</v>
      </c>
      <c r="T26">
        <v>69.955022288463368</v>
      </c>
      <c r="U26">
        <v>0.49933358421642965</v>
      </c>
      <c r="V26">
        <v>0.37760190465986482</v>
      </c>
      <c r="W26">
        <v>0.60552768830130799</v>
      </c>
      <c r="X26">
        <v>39224.89311184574</v>
      </c>
      <c r="Y26">
        <v>43432.61913081527</v>
      </c>
      <c r="Z26">
        <v>36472.850415975568</v>
      </c>
      <c r="AA26">
        <v>0.49933358421642965</v>
      </c>
      <c r="AB26">
        <v>0.49933358421642965</v>
      </c>
      <c r="AC26">
        <v>0.49933358421642965</v>
      </c>
    </row>
    <row r="27" spans="2:29" x14ac:dyDescent="0.25">
      <c r="G27">
        <v>20</v>
      </c>
      <c r="H27" s="57">
        <f t="shared" si="1"/>
        <v>274.86206896551727</v>
      </c>
      <c r="I27" s="50">
        <v>514.86606730766721</v>
      </c>
      <c r="J27" s="50">
        <v>55.607403245899761</v>
      </c>
      <c r="K27" s="58">
        <v>0.38477777505492566</v>
      </c>
      <c r="L27">
        <v>514.86606730766721</v>
      </c>
      <c r="M27">
        <v>55.607403245899761</v>
      </c>
      <c r="N27">
        <v>0.70326428306180921</v>
      </c>
      <c r="O27">
        <v>742.88239806595402</v>
      </c>
      <c r="P27">
        <v>33.122500899291815</v>
      </c>
      <c r="Q27">
        <v>0.70326428306180921</v>
      </c>
      <c r="R27">
        <v>55.99213238195162</v>
      </c>
      <c r="S27">
        <v>44.039231265687974</v>
      </c>
      <c r="T27">
        <v>63.600958844033784</v>
      </c>
      <c r="U27">
        <v>0.48488719200744224</v>
      </c>
      <c r="V27">
        <v>0.35717406711230071</v>
      </c>
      <c r="W27">
        <v>0.58972486300345117</v>
      </c>
      <c r="X27">
        <v>38719.873344126543</v>
      </c>
      <c r="Y27">
        <v>42814.207132585543</v>
      </c>
      <c r="Z27">
        <v>35971.2769737083</v>
      </c>
      <c r="AA27">
        <v>0.48488719200744224</v>
      </c>
      <c r="AB27">
        <v>0.48488719200744224</v>
      </c>
      <c r="AC27">
        <v>0.48488719200744224</v>
      </c>
    </row>
    <row r="28" spans="2:29" x14ac:dyDescent="0.25">
      <c r="G28">
        <v>21</v>
      </c>
      <c r="H28" s="57">
        <f t="shared" si="1"/>
        <v>289.27586206896552</v>
      </c>
      <c r="I28" s="50">
        <v>453.19335780257569</v>
      </c>
      <c r="J28" s="50">
        <v>54.875118214347289</v>
      </c>
      <c r="K28" s="58">
        <v>0.36249727411345584</v>
      </c>
      <c r="L28">
        <v>453.19335780257569</v>
      </c>
      <c r="M28">
        <v>54.875118214347289</v>
      </c>
      <c r="N28">
        <v>0.36249727411345584</v>
      </c>
      <c r="O28">
        <v>684.95275056211574</v>
      </c>
      <c r="P28">
        <v>32.803106253632805</v>
      </c>
      <c r="Q28">
        <v>0.68486521891378072</v>
      </c>
      <c r="R28">
        <v>50.179063819183895</v>
      </c>
      <c r="S28">
        <v>38.048397116713588</v>
      </c>
      <c r="T28">
        <v>56.627575330879964</v>
      </c>
      <c r="U28">
        <v>0.46404846781995651</v>
      </c>
      <c r="V28">
        <v>0.32871890630892403</v>
      </c>
      <c r="W28">
        <v>0.56290547692515647</v>
      </c>
      <c r="X28">
        <v>38167.293712290229</v>
      </c>
      <c r="Y28">
        <v>42296.21684071562</v>
      </c>
      <c r="Z28">
        <v>35358.489405128435</v>
      </c>
      <c r="AA28">
        <v>0.46404846781995651</v>
      </c>
      <c r="AB28">
        <v>0.46404846781995651</v>
      </c>
      <c r="AC28">
        <v>0.46404846781995651</v>
      </c>
    </row>
    <row r="29" spans="2:29" x14ac:dyDescent="0.25">
      <c r="G29">
        <v>22</v>
      </c>
      <c r="H29" s="57">
        <f t="shared" si="1"/>
        <v>303.68965517241378</v>
      </c>
      <c r="I29" s="50">
        <v>390.20675401865321</v>
      </c>
      <c r="J29" s="50">
        <v>54.286861110667289</v>
      </c>
      <c r="K29" s="58">
        <v>0.3330483417918676</v>
      </c>
      <c r="L29">
        <v>390.20675401865321</v>
      </c>
      <c r="M29">
        <v>54.286861110667289</v>
      </c>
      <c r="N29">
        <v>0.3330483417918676</v>
      </c>
      <c r="O29">
        <v>395.06921972774785</v>
      </c>
      <c r="P29">
        <v>32.422411352261761</v>
      </c>
      <c r="Q29">
        <v>0.65907870842907912</v>
      </c>
      <c r="R29">
        <v>44.147139356118274</v>
      </c>
      <c r="S29">
        <v>31.781498916792209</v>
      </c>
      <c r="T29">
        <v>47.410188380589872</v>
      </c>
      <c r="U29">
        <v>0.43454369825550732</v>
      </c>
      <c r="V29">
        <v>0.28988620914976349</v>
      </c>
      <c r="W29">
        <v>0.50701345970897327</v>
      </c>
      <c r="X29">
        <v>37656.555765476369</v>
      </c>
      <c r="Y29">
        <v>42055.027654103629</v>
      </c>
      <c r="Z29">
        <v>34591.619882773994</v>
      </c>
      <c r="AA29">
        <v>0.43454369825550732</v>
      </c>
      <c r="AB29">
        <v>0.43454369825550732</v>
      </c>
      <c r="AC29">
        <v>0.43454369825550732</v>
      </c>
    </row>
    <row r="31" spans="2:29" x14ac:dyDescent="0.25">
      <c r="L31" t="e">
        <f>[1]!ESP_dP_atm(H8,ESP_freq_,PVT!Psep_atma_,ESP_stages_,Freq_,ESP_ID_,PVT!gamma_gas_,PVT!gamma_oil_,PVT!gamma_w_,"Rsb_","Rp_",PVT!Pb_atma_,PVT!Tres_C_,PVT!Bob_m3m3_,PVT!mu_cP_,,PVT!Ksep_,PVT!Psep_atma_,PVT!Tsep_C_,PVT!Tsep_C_)</f>
        <v>#VALUE!</v>
      </c>
    </row>
    <row r="35" spans="13:17" x14ac:dyDescent="0.25">
      <c r="N35" s="16" t="s">
        <v>228</v>
      </c>
    </row>
    <row r="46" spans="13:17" x14ac:dyDescent="0.25">
      <c r="M46" t="s">
        <v>230</v>
      </c>
      <c r="Q46" t="s">
        <v>229</v>
      </c>
    </row>
  </sheetData>
  <mergeCells count="10">
    <mergeCell ref="I5:Q5"/>
    <mergeCell ref="R5:T5"/>
    <mergeCell ref="U7:W7"/>
    <mergeCell ref="U5:W5"/>
    <mergeCell ref="R7:T7"/>
    <mergeCell ref="AA5:AC5"/>
    <mergeCell ref="AA7:AC7"/>
    <mergeCell ref="AA4:AC4"/>
    <mergeCell ref="X7:Z7"/>
    <mergeCell ref="X5:Z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BJ1539"/>
  <sheetViews>
    <sheetView tabSelected="1" topLeftCell="O1" zoomScale="55" zoomScaleNormal="55" workbookViewId="0">
      <selection activeCell="T7" sqref="T7"/>
    </sheetView>
  </sheetViews>
  <sheetFormatPr defaultRowHeight="15" x14ac:dyDescent="0.25"/>
  <cols>
    <col min="13" max="13" width="21.42578125" bestFit="1" customWidth="1"/>
    <col min="14" max="14" width="10.7109375" bestFit="1" customWidth="1"/>
    <col min="15" max="15" width="12.5703125" bestFit="1" customWidth="1"/>
    <col min="16" max="16" width="12.7109375" bestFit="1" customWidth="1"/>
    <col min="17" max="17" width="25.42578125" customWidth="1"/>
    <col min="19" max="19" width="14.42578125" customWidth="1"/>
    <col min="21" max="21" width="7.140625" customWidth="1"/>
    <col min="22" max="22" width="28.7109375" customWidth="1"/>
    <col min="23" max="23" width="11.28515625" bestFit="1" customWidth="1"/>
    <col min="25" max="25" width="33.7109375" bestFit="1" customWidth="1"/>
    <col min="26" max="26" width="13.7109375" bestFit="1" customWidth="1"/>
    <col min="28" max="28" width="29" customWidth="1"/>
    <col min="29" max="29" width="11.7109375" bestFit="1" customWidth="1"/>
    <col min="30" max="30" width="11.7109375" customWidth="1"/>
    <col min="59" max="59" width="15.140625" bestFit="1" customWidth="1"/>
    <col min="60" max="61" width="15.42578125" bestFit="1" customWidth="1"/>
    <col min="62" max="62" width="15.42578125" customWidth="1"/>
  </cols>
  <sheetData>
    <row r="1" spans="1:62" ht="16.5" thickBot="1" x14ac:dyDescent="0.3">
      <c r="M1" t="s">
        <v>364</v>
      </c>
      <c r="N1" s="105">
        <v>43524</v>
      </c>
      <c r="P1" s="186" t="s">
        <v>252</v>
      </c>
      <c r="Q1" s="187"/>
      <c r="R1" s="187"/>
      <c r="S1" s="187"/>
      <c r="T1" s="187"/>
      <c r="U1" s="188"/>
      <c r="V1" s="184" t="s">
        <v>251</v>
      </c>
      <c r="W1" s="184"/>
      <c r="X1" s="184"/>
      <c r="Y1" s="184"/>
      <c r="Z1" s="184"/>
      <c r="AA1" s="185"/>
      <c r="AB1" s="187" t="s">
        <v>356</v>
      </c>
      <c r="AC1" s="187"/>
      <c r="AD1" s="187"/>
      <c r="AE1" s="189"/>
    </row>
    <row r="2" spans="1:62" ht="15.75" x14ac:dyDescent="0.25">
      <c r="A2" t="str">
        <f>версия_</f>
        <v>вер 7.5</v>
      </c>
      <c r="L2" s="171" t="s">
        <v>232</v>
      </c>
      <c r="M2" s="171"/>
      <c r="N2" s="171"/>
      <c r="O2">
        <v>1</v>
      </c>
      <c r="P2" s="97"/>
      <c r="Q2" s="79" t="s">
        <v>387</v>
      </c>
      <c r="R2" s="79"/>
      <c r="S2" s="79"/>
      <c r="T2" s="79"/>
      <c r="U2" s="79"/>
      <c r="V2" s="79" t="s">
        <v>351</v>
      </c>
      <c r="W2" s="79"/>
      <c r="X2" s="79"/>
      <c r="Y2" s="79"/>
      <c r="Z2" s="79"/>
      <c r="AA2" s="79"/>
      <c r="AB2" s="117" t="s">
        <v>359</v>
      </c>
      <c r="AC2" s="118"/>
      <c r="AD2" s="119"/>
      <c r="AE2" s="120"/>
    </row>
    <row r="3" spans="1:62" ht="16.5" thickBot="1" x14ac:dyDescent="0.3">
      <c r="C3" t="s">
        <v>132</v>
      </c>
      <c r="E3">
        <f>AK4-1</f>
        <v>0</v>
      </c>
      <c r="G3" t="s">
        <v>133</v>
      </c>
      <c r="J3">
        <f>AO4-1</f>
        <v>0</v>
      </c>
      <c r="L3" t="s">
        <v>134</v>
      </c>
      <c r="O3">
        <v>2</v>
      </c>
      <c r="P3" s="93"/>
      <c r="Q3" s="91" t="s">
        <v>348</v>
      </c>
      <c r="R3" s="75"/>
      <c r="S3" s="75"/>
      <c r="T3" s="79"/>
      <c r="U3" s="79"/>
      <c r="V3" s="79" t="s">
        <v>350</v>
      </c>
      <c r="W3" s="79"/>
      <c r="X3" s="79"/>
      <c r="Y3" s="79"/>
      <c r="Z3" s="79"/>
      <c r="AA3" s="79"/>
      <c r="AB3" s="121" t="s">
        <v>360</v>
      </c>
      <c r="AC3" s="92"/>
      <c r="AD3" s="95"/>
      <c r="AE3" s="98"/>
      <c r="AG3" t="s">
        <v>145</v>
      </c>
      <c r="AL3" t="s">
        <v>143</v>
      </c>
      <c r="AP3" t="s">
        <v>144</v>
      </c>
    </row>
    <row r="4" spans="1:62" ht="19.5" thickBot="1" x14ac:dyDescent="0.35">
      <c r="P4" s="94"/>
      <c r="Q4" s="91" t="s">
        <v>349</v>
      </c>
      <c r="R4" s="75"/>
      <c r="S4" s="75"/>
      <c r="T4" s="75"/>
      <c r="U4" s="75"/>
      <c r="V4" s="69" t="s">
        <v>255</v>
      </c>
      <c r="W4" s="76">
        <v>0.89</v>
      </c>
      <c r="X4" s="73" t="s">
        <v>256</v>
      </c>
      <c r="Y4" s="69" t="s">
        <v>239</v>
      </c>
      <c r="Z4" s="111">
        <v>82.09</v>
      </c>
      <c r="AA4" s="73" t="s">
        <v>183</v>
      </c>
      <c r="AB4" s="69" t="s">
        <v>385</v>
      </c>
      <c r="AC4" s="99" t="s">
        <v>386</v>
      </c>
      <c r="AD4" s="73" t="s">
        <v>362</v>
      </c>
      <c r="AE4" s="70" t="s">
        <v>363</v>
      </c>
      <c r="AG4">
        <v>3</v>
      </c>
      <c r="AH4" t="s">
        <v>152</v>
      </c>
      <c r="AK4">
        <v>1</v>
      </c>
      <c r="AL4" t="s">
        <v>135</v>
      </c>
      <c r="AO4">
        <v>1</v>
      </c>
      <c r="AP4" t="s">
        <v>137</v>
      </c>
      <c r="BG4" s="131"/>
      <c r="BH4" s="131" t="s">
        <v>384</v>
      </c>
      <c r="BI4" s="131" t="s">
        <v>383</v>
      </c>
      <c r="BJ4" s="131" t="s">
        <v>382</v>
      </c>
    </row>
    <row r="5" spans="1:62" ht="18.75" x14ac:dyDescent="0.3">
      <c r="P5" s="80" t="s">
        <v>366</v>
      </c>
      <c r="Q5" s="112">
        <v>32</v>
      </c>
      <c r="R5" s="107" t="s">
        <v>44</v>
      </c>
      <c r="S5" s="80" t="s">
        <v>379</v>
      </c>
      <c r="T5" s="81">
        <v>0.13500000000000001</v>
      </c>
      <c r="U5" s="107" t="s">
        <v>235</v>
      </c>
      <c r="V5" s="82" t="s">
        <v>249</v>
      </c>
      <c r="W5" s="83">
        <v>64</v>
      </c>
      <c r="X5" s="100" t="s">
        <v>244</v>
      </c>
      <c r="Y5" s="78" t="s">
        <v>253</v>
      </c>
      <c r="Z5" s="84">
        <v>71.714217536519939</v>
      </c>
      <c r="AA5" s="74" t="s">
        <v>183</v>
      </c>
      <c r="AB5" s="78" t="s">
        <v>367</v>
      </c>
      <c r="AC5" s="127">
        <f>ABS((Pline_atma_-Pline_out_atma_)/Pline_atma_)</f>
        <v>2.0313934191013797E-2</v>
      </c>
      <c r="AD5" s="123">
        <v>0.67945178573027065</v>
      </c>
      <c r="AE5" s="101">
        <v>1.2220558138572317</v>
      </c>
      <c r="AH5" t="s">
        <v>161</v>
      </c>
      <c r="AL5" s="2" t="s">
        <v>136</v>
      </c>
      <c r="AP5" t="s">
        <v>138</v>
      </c>
      <c r="BG5" s="131" t="s">
        <v>388</v>
      </c>
      <c r="BH5" s="131">
        <v>0.28999999999999998</v>
      </c>
      <c r="BI5" s="131">
        <v>0.18</v>
      </c>
      <c r="BJ5" s="131">
        <v>0.15</v>
      </c>
    </row>
    <row r="6" spans="1:62" ht="18.75" x14ac:dyDescent="0.3">
      <c r="B6" s="17" t="s">
        <v>151</v>
      </c>
      <c r="C6" s="2"/>
      <c r="D6" s="2"/>
      <c r="G6" s="17" t="s">
        <v>147</v>
      </c>
      <c r="H6" s="2"/>
      <c r="I6" s="2"/>
      <c r="L6" s="17" t="s">
        <v>48</v>
      </c>
      <c r="M6" s="2"/>
      <c r="N6" s="2"/>
      <c r="P6" s="78" t="s">
        <v>367</v>
      </c>
      <c r="Q6" s="113">
        <v>21.6</v>
      </c>
      <c r="R6" s="71" t="s">
        <v>44</v>
      </c>
      <c r="S6" s="78" t="s">
        <v>380</v>
      </c>
      <c r="T6" s="68">
        <v>0.13</v>
      </c>
      <c r="U6" s="71" t="s">
        <v>235</v>
      </c>
      <c r="V6" s="78" t="s">
        <v>242</v>
      </c>
      <c r="W6" s="68">
        <f>Power_motor_nom_kWt_</f>
        <v>140</v>
      </c>
      <c r="X6" s="74" t="s">
        <v>183</v>
      </c>
      <c r="Y6" s="78" t="s">
        <v>236</v>
      </c>
      <c r="Z6" s="84">
        <v>11.497877557640804</v>
      </c>
      <c r="AA6" s="74" t="s">
        <v>183</v>
      </c>
      <c r="AB6" s="78" t="s">
        <v>368</v>
      </c>
      <c r="AC6" s="128">
        <f>ABS((Pbuf_atma_-Pbuf_out_atma_)/Pbuf_atma_)</f>
        <v>3.9603451354823939E-2</v>
      </c>
      <c r="AD6" s="124">
        <v>0.53893389582800655</v>
      </c>
      <c r="AE6" s="102">
        <v>0.97216481333894322</v>
      </c>
      <c r="AH6" t="s">
        <v>146</v>
      </c>
      <c r="AP6" t="s">
        <v>139</v>
      </c>
      <c r="BG6" s="131" t="s">
        <v>234</v>
      </c>
      <c r="BH6" s="131">
        <v>0.23</v>
      </c>
      <c r="BI6" s="131">
        <v>0.14000000000000001</v>
      </c>
      <c r="BJ6" s="131">
        <v>0.12</v>
      </c>
    </row>
    <row r="7" spans="1:62" ht="20.25" thickBot="1" x14ac:dyDescent="0.4">
      <c r="B7" s="7" t="s">
        <v>32</v>
      </c>
      <c r="C7" s="9">
        <v>120.48</v>
      </c>
      <c r="D7" s="5" t="s">
        <v>33</v>
      </c>
      <c r="G7" s="14" t="s">
        <v>149</v>
      </c>
      <c r="H7" s="9">
        <v>1.1000000000000001</v>
      </c>
      <c r="I7" s="5"/>
      <c r="L7" s="14" t="s">
        <v>148</v>
      </c>
      <c r="M7" s="9">
        <v>16</v>
      </c>
      <c r="N7" s="5" t="s">
        <v>25</v>
      </c>
      <c r="O7" s="61" t="s">
        <v>206</v>
      </c>
      <c r="P7" s="78" t="s">
        <v>368</v>
      </c>
      <c r="Q7" s="113">
        <v>27</v>
      </c>
      <c r="R7" s="71" t="s">
        <v>44</v>
      </c>
      <c r="S7" s="85" t="s">
        <v>381</v>
      </c>
      <c r="T7" s="86">
        <v>0.1</v>
      </c>
      <c r="U7" s="72" t="s">
        <v>235</v>
      </c>
      <c r="V7" s="78" t="s">
        <v>243</v>
      </c>
      <c r="W7" s="87">
        <v>42.94</v>
      </c>
      <c r="X7" s="74" t="s">
        <v>244</v>
      </c>
      <c r="Y7" s="78" t="s">
        <v>343</v>
      </c>
      <c r="Z7" s="84">
        <v>0.4</v>
      </c>
      <c r="AA7" s="74" t="s">
        <v>183</v>
      </c>
      <c r="AB7" s="78" t="s">
        <v>366</v>
      </c>
      <c r="AC7" s="128">
        <f>ABS((Q5-Pint_atma)/Q5)</f>
        <v>5.2884615497248988E-2</v>
      </c>
      <c r="AD7" s="124">
        <v>5.2884615497248988E-2</v>
      </c>
      <c r="AE7" s="102">
        <v>5.2884615497248988E-2</v>
      </c>
      <c r="AP7" t="s">
        <v>140</v>
      </c>
      <c r="BG7" s="131" t="s">
        <v>371</v>
      </c>
      <c r="BH7" s="131">
        <v>101.6</v>
      </c>
      <c r="BI7" s="131">
        <v>92.1</v>
      </c>
      <c r="BJ7" s="131">
        <v>77.2</v>
      </c>
    </row>
    <row r="8" spans="1:62" ht="19.5" x14ac:dyDescent="0.35">
      <c r="B8" s="5" t="s">
        <v>19</v>
      </c>
      <c r="C8" s="9">
        <v>19.48</v>
      </c>
      <c r="D8" s="5" t="s">
        <v>9</v>
      </c>
      <c r="G8" s="14" t="s">
        <v>150</v>
      </c>
      <c r="H8" s="9">
        <v>0.9</v>
      </c>
      <c r="I8" s="5"/>
      <c r="L8" s="14" t="s">
        <v>50</v>
      </c>
      <c r="M8" s="9">
        <v>22</v>
      </c>
      <c r="N8" s="5" t="s">
        <v>25</v>
      </c>
      <c r="O8" s="61" t="s">
        <v>205</v>
      </c>
      <c r="P8" s="78" t="s">
        <v>369</v>
      </c>
      <c r="Q8" s="113">
        <v>39</v>
      </c>
      <c r="R8" s="71" t="s">
        <v>44</v>
      </c>
      <c r="S8" s="74"/>
      <c r="T8" s="88">
        <v>0</v>
      </c>
      <c r="U8" s="74"/>
      <c r="V8" s="78" t="s">
        <v>245</v>
      </c>
      <c r="W8" s="68">
        <v>0.71199999999999997</v>
      </c>
      <c r="X8" s="74" t="s">
        <v>246</v>
      </c>
      <c r="Y8" s="78" t="s">
        <v>344</v>
      </c>
      <c r="Z8" s="84">
        <v>0.5</v>
      </c>
      <c r="AA8" s="74" t="s">
        <v>183</v>
      </c>
      <c r="AB8" s="78" t="s">
        <v>369</v>
      </c>
      <c r="AC8" s="128">
        <f>ABS((Pwf_atma_-Pwf_out_atma_)/Pwf_atma_)</f>
        <v>0</v>
      </c>
      <c r="AD8" s="124">
        <v>0</v>
      </c>
      <c r="AE8" s="102">
        <v>0</v>
      </c>
      <c r="AP8" t="s">
        <v>141</v>
      </c>
      <c r="BG8" s="131" t="s">
        <v>389</v>
      </c>
      <c r="BH8" s="131">
        <v>63.7</v>
      </c>
      <c r="BI8" s="131">
        <v>94.6</v>
      </c>
      <c r="BJ8" s="131">
        <v>94.6</v>
      </c>
    </row>
    <row r="9" spans="1:62" ht="18.75" thickBot="1" x14ac:dyDescent="0.3">
      <c r="B9" s="7" t="s">
        <v>34</v>
      </c>
      <c r="C9" s="12" t="s">
        <v>55</v>
      </c>
      <c r="D9" s="5" t="s">
        <v>35</v>
      </c>
      <c r="O9" s="61" t="s">
        <v>204</v>
      </c>
      <c r="P9" s="78" t="s">
        <v>370</v>
      </c>
      <c r="Q9" s="113">
        <v>25</v>
      </c>
      <c r="R9" s="71" t="s">
        <v>44</v>
      </c>
      <c r="S9" s="74"/>
      <c r="T9" s="88"/>
      <c r="U9" s="74"/>
      <c r="V9" s="78" t="s">
        <v>247</v>
      </c>
      <c r="W9" s="87">
        <v>0.55000000000000004</v>
      </c>
      <c r="X9" s="74" t="s">
        <v>235</v>
      </c>
      <c r="Y9" s="78" t="s">
        <v>237</v>
      </c>
      <c r="Z9" s="84">
        <v>72.614217536519931</v>
      </c>
      <c r="AA9" s="74" t="s">
        <v>183</v>
      </c>
      <c r="AB9" s="82" t="s">
        <v>243</v>
      </c>
      <c r="AC9" s="128">
        <f>ABS((W7-I_out_A)/W7)</f>
        <v>3.4031629479647999E-3</v>
      </c>
      <c r="AD9" s="124">
        <v>3.674214721127643E-2</v>
      </c>
      <c r="AE9" s="102">
        <v>0.29145542081737136</v>
      </c>
      <c r="AP9" t="s">
        <v>142</v>
      </c>
    </row>
    <row r="10" spans="1:62" ht="18" x14ac:dyDescent="0.25">
      <c r="B10" s="7" t="s">
        <v>18</v>
      </c>
      <c r="C10" s="9">
        <v>27.58</v>
      </c>
      <c r="D10" s="5" t="s">
        <v>17</v>
      </c>
      <c r="I10" t="s">
        <v>199</v>
      </c>
      <c r="K10" t="s">
        <v>200</v>
      </c>
      <c r="P10" s="78" t="s">
        <v>371</v>
      </c>
      <c r="Q10" s="114">
        <f>P_dis_atma-Pint_atma</f>
        <v>78.229785132673527</v>
      </c>
      <c r="R10" s="71" t="s">
        <v>44</v>
      </c>
      <c r="S10" s="80" t="s">
        <v>378</v>
      </c>
      <c r="T10" s="109">
        <f>Tdis_C-Tint_C</f>
        <v>20.362441206809386</v>
      </c>
      <c r="U10" s="107" t="s">
        <v>358</v>
      </c>
      <c r="V10" s="74" t="s">
        <v>254</v>
      </c>
      <c r="W10" s="68">
        <v>1546</v>
      </c>
      <c r="X10" s="74" t="s">
        <v>248</v>
      </c>
      <c r="Y10" s="78" t="s">
        <v>365</v>
      </c>
      <c r="Z10" s="84">
        <v>81.589008467999932</v>
      </c>
      <c r="AA10" s="74" t="s">
        <v>183</v>
      </c>
      <c r="AB10" s="78" t="s">
        <v>357</v>
      </c>
      <c r="AC10" s="129">
        <f>ABS((W9-Load_fr_out)/W9)</f>
        <v>2.741208674967309E-2</v>
      </c>
      <c r="AD10" s="125">
        <v>0.29082864538009778</v>
      </c>
      <c r="AE10" s="103">
        <v>0.11780413114492909</v>
      </c>
    </row>
    <row r="11" spans="1:62" ht="19.5" thickBot="1" x14ac:dyDescent="0.35">
      <c r="B11" s="7" t="s">
        <v>18</v>
      </c>
      <c r="C11" s="13">
        <f>Rp_m3m3_/PVT!gamma_oil_</f>
        <v>29.185185185185183</v>
      </c>
      <c r="D11" s="5" t="s">
        <v>36</v>
      </c>
      <c r="I11" t="s">
        <v>198</v>
      </c>
      <c r="O11">
        <f>(Pline_atma_-Pline_out_atma_)/Pline_atma_</f>
        <v>-2.0313934191013797E-2</v>
      </c>
      <c r="P11" s="78" t="s">
        <v>367</v>
      </c>
      <c r="Q11" s="114">
        <v>22.038780978525899</v>
      </c>
      <c r="R11" s="71" t="s">
        <v>44</v>
      </c>
      <c r="S11" s="78" t="s">
        <v>373</v>
      </c>
      <c r="T11" s="106">
        <v>22.286672329888155</v>
      </c>
      <c r="U11" s="71" t="s">
        <v>358</v>
      </c>
      <c r="V11" s="74" t="s">
        <v>233</v>
      </c>
      <c r="W11" s="89">
        <v>0.16032912234991054</v>
      </c>
      <c r="X11" s="74" t="s">
        <v>235</v>
      </c>
      <c r="Y11" s="78" t="s">
        <v>345</v>
      </c>
      <c r="Z11" s="84">
        <v>3.8311083722001751</v>
      </c>
      <c r="AA11" s="74" t="s">
        <v>183</v>
      </c>
      <c r="AB11" s="122" t="s">
        <v>239</v>
      </c>
      <c r="AC11" s="130">
        <f>ABS(Z4-Power_CS_out)/Z4</f>
        <v>4.6657551929316097E-3</v>
      </c>
      <c r="AD11" s="126">
        <v>0.15255486215557001</v>
      </c>
      <c r="AE11" s="104">
        <v>0.22391836459590519</v>
      </c>
    </row>
    <row r="12" spans="1:62" ht="16.5" thickBot="1" x14ac:dyDescent="0.3">
      <c r="C12" t="s">
        <v>212</v>
      </c>
      <c r="I12" t="s">
        <v>197</v>
      </c>
      <c r="O12">
        <f>P_dis_atma-Pint_atma</f>
        <v>78.229785132673527</v>
      </c>
      <c r="P12" s="78" t="s">
        <v>368</v>
      </c>
      <c r="Q12" s="114">
        <v>28.069293186580246</v>
      </c>
      <c r="R12" s="71" t="s">
        <v>44</v>
      </c>
      <c r="S12" s="78" t="s">
        <v>374</v>
      </c>
      <c r="T12" s="106">
        <v>22.286672329888155</v>
      </c>
      <c r="U12" s="71" t="s">
        <v>358</v>
      </c>
      <c r="V12" s="74" t="s">
        <v>234</v>
      </c>
      <c r="W12" s="89">
        <v>0.12664877307792369</v>
      </c>
      <c r="X12" s="74" t="s">
        <v>235</v>
      </c>
      <c r="Y12" s="78" t="s">
        <v>238</v>
      </c>
      <c r="Z12" s="84">
        <v>85.420116840200109</v>
      </c>
      <c r="AA12" s="74" t="s">
        <v>183</v>
      </c>
      <c r="AB12" s="80" t="s">
        <v>391</v>
      </c>
      <c r="AC12" s="136">
        <f>(SUM(AC5:AC10) + AC11)/7</f>
        <v>2.1183286561950891E-2</v>
      </c>
      <c r="AD12" s="137">
        <v>0.25019942168606718</v>
      </c>
      <c r="AE12" s="138">
        <v>0.41146902275023278</v>
      </c>
    </row>
    <row r="13" spans="1:62" ht="15.75" x14ac:dyDescent="0.25">
      <c r="C13" s="59" t="s">
        <v>211</v>
      </c>
      <c r="E13" s="61" t="s">
        <v>215</v>
      </c>
      <c r="I13" s="59" t="s">
        <v>209</v>
      </c>
      <c r="K13" s="61" t="s">
        <v>214</v>
      </c>
      <c r="M13" s="59" t="s">
        <v>216</v>
      </c>
      <c r="O13" s="61" t="s">
        <v>213</v>
      </c>
      <c r="P13" s="78" t="s">
        <v>369</v>
      </c>
      <c r="Q13" s="114">
        <v>39</v>
      </c>
      <c r="R13" s="71" t="s">
        <v>44</v>
      </c>
      <c r="S13" s="78" t="s">
        <v>375</v>
      </c>
      <c r="T13" s="106">
        <v>16</v>
      </c>
      <c r="U13" s="71" t="s">
        <v>358</v>
      </c>
      <c r="V13" s="74" t="s">
        <v>241</v>
      </c>
      <c r="W13" s="89">
        <v>42.793868183014389</v>
      </c>
      <c r="X13" s="74" t="s">
        <v>240</v>
      </c>
      <c r="Y13" s="78" t="s">
        <v>346</v>
      </c>
      <c r="Z13" s="84">
        <v>2.6418592837175314</v>
      </c>
      <c r="AA13" s="74" t="s">
        <v>183</v>
      </c>
      <c r="AB13" s="141"/>
      <c r="AC13" s="142"/>
      <c r="AD13" s="143"/>
      <c r="AE13" s="144"/>
    </row>
    <row r="14" spans="1:62" ht="15.75" x14ac:dyDescent="0.25">
      <c r="C14" s="59" t="s">
        <v>208</v>
      </c>
      <c r="D14" s="1"/>
      <c r="I14" s="59" t="s">
        <v>210</v>
      </c>
      <c r="K14" s="62" t="s">
        <v>218</v>
      </c>
      <c r="L14" s="62" t="s">
        <v>217</v>
      </c>
      <c r="P14" s="78" t="s">
        <v>372</v>
      </c>
      <c r="Q14" s="115">
        <v>108.53747743676156</v>
      </c>
      <c r="R14" s="71" t="s">
        <v>44</v>
      </c>
      <c r="S14" s="78" t="s">
        <v>376</v>
      </c>
      <c r="T14" s="108">
        <v>36.039034057773058</v>
      </c>
      <c r="U14" s="71" t="s">
        <v>358</v>
      </c>
      <c r="V14" s="74" t="s">
        <v>390</v>
      </c>
      <c r="W14" s="89">
        <f>I_out_A*cos_phi_/W5/motor_eff_fr_</f>
        <v>0.53492335228767984</v>
      </c>
      <c r="X14" s="74" t="s">
        <v>235</v>
      </c>
      <c r="Y14" s="78" t="s">
        <v>347</v>
      </c>
      <c r="Z14" s="84">
        <v>2.7235662718737439</v>
      </c>
      <c r="AA14" s="74" t="s">
        <v>183</v>
      </c>
      <c r="AB14" s="145"/>
      <c r="AC14" s="139"/>
      <c r="AD14" s="140"/>
      <c r="AE14" s="146"/>
      <c r="BB14">
        <f>(67.2-100.7)/67.2</f>
        <v>-0.49851190476190477</v>
      </c>
    </row>
    <row r="15" spans="1:62" ht="16.5" thickBot="1" x14ac:dyDescent="0.3">
      <c r="B15" s="2" t="s">
        <v>51</v>
      </c>
      <c r="C15" s="2"/>
      <c r="D15" s="10"/>
      <c r="E15" s="2"/>
      <c r="H15" t="s">
        <v>57</v>
      </c>
      <c r="N15" t="s">
        <v>58</v>
      </c>
      <c r="P15" s="85" t="s">
        <v>366</v>
      </c>
      <c r="Q15" s="116">
        <v>30.307692304088032</v>
      </c>
      <c r="R15" s="72" t="s">
        <v>44</v>
      </c>
      <c r="S15" s="85" t="s">
        <v>377</v>
      </c>
      <c r="T15" s="110">
        <v>15.676592850963671</v>
      </c>
      <c r="U15" s="72" t="s">
        <v>358</v>
      </c>
      <c r="V15" s="77"/>
      <c r="W15" s="96"/>
      <c r="X15" s="77"/>
      <c r="Y15" s="85" t="s">
        <v>239</v>
      </c>
      <c r="Z15" s="90">
        <v>81.706988156212248</v>
      </c>
      <c r="AA15" s="77" t="s">
        <v>183</v>
      </c>
      <c r="AB15" s="132"/>
      <c r="AC15" s="133"/>
      <c r="AD15" s="134"/>
      <c r="AE15" s="135"/>
    </row>
    <row r="16" spans="1:62" x14ac:dyDescent="0.25">
      <c r="B16" s="2"/>
      <c r="C16" s="2" t="s">
        <v>43</v>
      </c>
      <c r="D16" s="10" t="s">
        <v>54</v>
      </c>
      <c r="E16" s="2" t="s">
        <v>53</v>
      </c>
      <c r="G16" t="s">
        <v>56</v>
      </c>
      <c r="H16" s="1"/>
      <c r="I16" s="1"/>
      <c r="J16" s="1"/>
      <c r="K16" s="1"/>
      <c r="M16" t="s">
        <v>196</v>
      </c>
      <c r="N16" s="1" t="s">
        <v>192</v>
      </c>
      <c r="O16" s="1" t="s">
        <v>193</v>
      </c>
      <c r="P16" s="1"/>
      <c r="Q16" s="1" t="s">
        <v>194</v>
      </c>
      <c r="R16" s="1"/>
      <c r="S16" s="1" t="s">
        <v>195</v>
      </c>
      <c r="T16" t="s">
        <v>257</v>
      </c>
      <c r="U16" s="5" t="s">
        <v>162</v>
      </c>
      <c r="V16" s="1" t="s">
        <v>163</v>
      </c>
      <c r="W16" t="s">
        <v>189</v>
      </c>
      <c r="AA16" s="2" t="s">
        <v>183</v>
      </c>
    </row>
    <row r="17" spans="2:54" x14ac:dyDescent="0.25">
      <c r="B17" s="2" t="s">
        <v>52</v>
      </c>
      <c r="C17" s="49">
        <v>0</v>
      </c>
      <c r="D17" s="49">
        <v>27</v>
      </c>
      <c r="E17" s="49">
        <v>2</v>
      </c>
      <c r="G17" s="15">
        <v>0</v>
      </c>
      <c r="H17">
        <v>830</v>
      </c>
      <c r="I17">
        <v>32</v>
      </c>
      <c r="J17">
        <v>16</v>
      </c>
      <c r="K17">
        <v>0</v>
      </c>
      <c r="M17">
        <v>0</v>
      </c>
      <c r="N17">
        <v>0</v>
      </c>
      <c r="O17">
        <v>28.069293186580246</v>
      </c>
      <c r="P17">
        <v>0</v>
      </c>
      <c r="Q17">
        <v>22.286672329888155</v>
      </c>
      <c r="R17">
        <v>0</v>
      </c>
      <c r="S17">
        <v>0.94226566063103401</v>
      </c>
      <c r="T17">
        <v>723.54651603638013</v>
      </c>
      <c r="U17">
        <v>0</v>
      </c>
      <c r="V17" s="50">
        <f>Pline_out_atma_</f>
        <v>22.038780978525899</v>
      </c>
      <c r="W17">
        <v>0</v>
      </c>
      <c r="X17">
        <v>25</v>
      </c>
      <c r="Y17">
        <v>0</v>
      </c>
      <c r="AA17" s="2" t="s">
        <v>183</v>
      </c>
    </row>
    <row r="18" spans="2:54" x14ac:dyDescent="0.25">
      <c r="B18" s="2" t="s">
        <v>207</v>
      </c>
      <c r="C18" s="18">
        <v>830</v>
      </c>
      <c r="D18" s="18">
        <v>32</v>
      </c>
      <c r="E18" s="18">
        <v>16</v>
      </c>
      <c r="G18" s="15">
        <v>1</v>
      </c>
      <c r="K18">
        <v>122.5</v>
      </c>
      <c r="M18">
        <v>2.3384277652504863</v>
      </c>
      <c r="N18">
        <v>122.5</v>
      </c>
      <c r="O18">
        <v>40.996125293405669</v>
      </c>
      <c r="P18">
        <v>122.5</v>
      </c>
      <c r="Q18">
        <v>24.354014605545256</v>
      </c>
      <c r="R18">
        <v>110.25</v>
      </c>
      <c r="S18">
        <v>1</v>
      </c>
      <c r="T18">
        <v>678.07108171865673</v>
      </c>
      <c r="U18">
        <v>0</v>
      </c>
      <c r="V18" s="50">
        <f>Pbuf_out_atma_</f>
        <v>28.069293186580246</v>
      </c>
      <c r="W18">
        <v>41.55</v>
      </c>
      <c r="X18">
        <v>25</v>
      </c>
      <c r="Y18">
        <v>110.25</v>
      </c>
      <c r="AA18" s="2" t="s">
        <v>183</v>
      </c>
    </row>
    <row r="19" spans="2:54" x14ac:dyDescent="0.25">
      <c r="B19" s="2"/>
      <c r="C19" s="18"/>
      <c r="D19" s="18"/>
      <c r="E19" s="18"/>
      <c r="G19" s="15">
        <v>2</v>
      </c>
      <c r="K19">
        <v>245</v>
      </c>
      <c r="M19">
        <v>4.6767696290728615</v>
      </c>
      <c r="N19">
        <v>245</v>
      </c>
      <c r="O19">
        <v>53.973389333726708</v>
      </c>
      <c r="P19">
        <v>245</v>
      </c>
      <c r="Q19">
        <v>26.403669344061569</v>
      </c>
      <c r="R19">
        <v>220.5</v>
      </c>
      <c r="S19">
        <v>1</v>
      </c>
      <c r="T19">
        <v>648.37852272871828</v>
      </c>
      <c r="U19">
        <f>Hperf_m_</f>
        <v>1257</v>
      </c>
      <c r="V19" s="50">
        <f>Pwf_out_atma_</f>
        <v>39</v>
      </c>
      <c r="W19">
        <v>83.1</v>
      </c>
      <c r="X19">
        <v>25</v>
      </c>
      <c r="Y19">
        <v>220.5</v>
      </c>
      <c r="AA19" s="2" t="s">
        <v>183</v>
      </c>
    </row>
    <row r="20" spans="2:54" x14ac:dyDescent="0.25">
      <c r="B20" s="2"/>
      <c r="C20" s="18"/>
      <c r="D20" s="18"/>
      <c r="E20" s="18"/>
      <c r="G20" s="15">
        <v>3</v>
      </c>
      <c r="K20">
        <v>367.5</v>
      </c>
      <c r="M20">
        <v>7.0148332475495323</v>
      </c>
      <c r="N20">
        <v>367.5</v>
      </c>
      <c r="O20">
        <v>66.907204987744862</v>
      </c>
      <c r="P20">
        <v>367.5</v>
      </c>
      <c r="Q20">
        <v>28.425941259200759</v>
      </c>
      <c r="R20">
        <v>330.75</v>
      </c>
      <c r="S20">
        <v>1</v>
      </c>
      <c r="T20">
        <v>626.81587563891856</v>
      </c>
      <c r="W20">
        <v>124.64999999999999</v>
      </c>
      <c r="X20">
        <v>25</v>
      </c>
      <c r="Y20">
        <v>330.75</v>
      </c>
      <c r="AA20" s="2" t="s">
        <v>183</v>
      </c>
      <c r="BB20">
        <f>107-67.2</f>
        <v>39.799999999999997</v>
      </c>
    </row>
    <row r="21" spans="2:54" x14ac:dyDescent="0.25">
      <c r="B21" s="2"/>
      <c r="C21" s="18"/>
      <c r="D21" s="18"/>
      <c r="E21" s="18"/>
      <c r="G21" s="15">
        <v>4</v>
      </c>
      <c r="K21">
        <v>490</v>
      </c>
      <c r="M21">
        <v>9.3414285398026049</v>
      </c>
      <c r="N21">
        <v>490</v>
      </c>
      <c r="O21">
        <v>79.702412844777555</v>
      </c>
      <c r="P21">
        <v>490</v>
      </c>
      <c r="Q21">
        <v>30.418645219264679</v>
      </c>
      <c r="R21">
        <v>441</v>
      </c>
      <c r="S21">
        <v>1</v>
      </c>
      <c r="T21">
        <v>608.12254940345838</v>
      </c>
      <c r="W21">
        <v>166.2</v>
      </c>
      <c r="X21">
        <v>25</v>
      </c>
      <c r="Y21">
        <v>441</v>
      </c>
      <c r="AA21" s="2" t="s">
        <v>183</v>
      </c>
    </row>
    <row r="22" spans="2:54" x14ac:dyDescent="0.25">
      <c r="B22" s="2"/>
      <c r="C22" s="18"/>
      <c r="D22" s="18"/>
      <c r="E22" s="18"/>
      <c r="G22" s="15">
        <v>5</v>
      </c>
      <c r="K22">
        <v>612.5</v>
      </c>
      <c r="M22">
        <v>11.521080401228829</v>
      </c>
      <c r="N22">
        <v>612.5</v>
      </c>
      <c r="O22">
        <v>91.757858054240202</v>
      </c>
      <c r="P22">
        <v>612.5</v>
      </c>
      <c r="Q22">
        <v>32.381020802636101</v>
      </c>
      <c r="R22">
        <v>551.25</v>
      </c>
      <c r="S22">
        <v>1</v>
      </c>
      <c r="T22">
        <v>588.17471552789743</v>
      </c>
      <c r="W22">
        <v>207.75</v>
      </c>
      <c r="X22">
        <v>25</v>
      </c>
      <c r="Y22">
        <v>551.25</v>
      </c>
      <c r="AA22" s="2" t="s">
        <v>183</v>
      </c>
    </row>
    <row r="23" spans="2:54" x14ac:dyDescent="0.25">
      <c r="B23" s="2"/>
      <c r="C23" s="18"/>
      <c r="D23" s="18"/>
      <c r="E23" s="18"/>
      <c r="G23" s="15">
        <v>6</v>
      </c>
      <c r="K23">
        <v>735</v>
      </c>
      <c r="M23">
        <v>13.358112718777807</v>
      </c>
      <c r="N23">
        <v>735</v>
      </c>
      <c r="O23">
        <v>102.08346542084797</v>
      </c>
      <c r="P23">
        <v>735</v>
      </c>
      <c r="Q23">
        <v>34.329853762126838</v>
      </c>
      <c r="R23">
        <v>661.5</v>
      </c>
      <c r="S23">
        <v>1</v>
      </c>
      <c r="T23">
        <v>565.42230339491539</v>
      </c>
      <c r="W23">
        <v>249.29999999999998</v>
      </c>
      <c r="X23">
        <v>25</v>
      </c>
      <c r="Y23">
        <v>661.5</v>
      </c>
      <c r="AA23" s="2" t="s">
        <v>183</v>
      </c>
    </row>
    <row r="24" spans="2:54" x14ac:dyDescent="0.25">
      <c r="B24" s="2"/>
      <c r="C24" s="18"/>
      <c r="D24" s="18"/>
      <c r="E24" s="18"/>
      <c r="G24" s="15">
        <v>7</v>
      </c>
      <c r="K24">
        <v>830</v>
      </c>
      <c r="M24">
        <v>14.468388865295946</v>
      </c>
      <c r="N24">
        <v>830</v>
      </c>
      <c r="O24">
        <v>108.53747743676156</v>
      </c>
      <c r="P24">
        <v>830</v>
      </c>
      <c r="Q24">
        <v>36.039034057773058</v>
      </c>
      <c r="R24">
        <v>771.75</v>
      </c>
      <c r="S24">
        <v>1</v>
      </c>
      <c r="T24">
        <v>539.70358931121359</v>
      </c>
      <c r="W24">
        <v>290.84999999999997</v>
      </c>
      <c r="X24">
        <v>25</v>
      </c>
      <c r="Y24">
        <v>771.75</v>
      </c>
      <c r="AA24" s="2" t="s">
        <v>183</v>
      </c>
    </row>
    <row r="25" spans="2:54" x14ac:dyDescent="0.25">
      <c r="B25" s="2"/>
      <c r="C25" s="18"/>
      <c r="D25" s="18"/>
      <c r="E25" s="18"/>
      <c r="G25" s="15">
        <v>8</v>
      </c>
      <c r="K25">
        <v>831</v>
      </c>
      <c r="M25">
        <v>14.476925344289779</v>
      </c>
      <c r="N25">
        <v>831</v>
      </c>
      <c r="O25">
        <v>30.307692304088036</v>
      </c>
      <c r="P25">
        <v>831</v>
      </c>
      <c r="Q25">
        <v>15.676592850963672</v>
      </c>
      <c r="R25">
        <v>882</v>
      </c>
      <c r="S25">
        <v>0.99967282289189208</v>
      </c>
      <c r="T25">
        <v>822.10104081743577</v>
      </c>
      <c r="W25">
        <v>332.4</v>
      </c>
      <c r="X25">
        <v>25</v>
      </c>
      <c r="Y25">
        <v>882</v>
      </c>
      <c r="AA25" s="2" t="s">
        <v>183</v>
      </c>
    </row>
    <row r="26" spans="2:54" x14ac:dyDescent="0.25">
      <c r="B26" s="2"/>
      <c r="C26" s="18"/>
      <c r="D26" s="18"/>
      <c r="E26" s="18"/>
      <c r="G26" s="15">
        <v>9</v>
      </c>
      <c r="K26">
        <v>857.5</v>
      </c>
      <c r="M26">
        <v>14.701753430292891</v>
      </c>
      <c r="N26">
        <v>857.5</v>
      </c>
      <c r="O26">
        <v>31.471051658376446</v>
      </c>
      <c r="P26">
        <v>857.5</v>
      </c>
      <c r="Q26">
        <v>15.723379515226709</v>
      </c>
      <c r="R26">
        <v>992.25</v>
      </c>
      <c r="S26">
        <v>1</v>
      </c>
      <c r="T26">
        <v>779.73514694466826</v>
      </c>
      <c r="W26">
        <v>373.95</v>
      </c>
      <c r="X26">
        <v>25</v>
      </c>
      <c r="Y26">
        <v>992.25</v>
      </c>
      <c r="AA26" s="2" t="s">
        <v>183</v>
      </c>
    </row>
    <row r="27" spans="2:54" x14ac:dyDescent="0.25">
      <c r="B27" s="2"/>
      <c r="C27" s="18"/>
      <c r="D27" s="18"/>
      <c r="E27" s="18"/>
      <c r="G27" s="15">
        <v>10</v>
      </c>
      <c r="K27">
        <v>980</v>
      </c>
      <c r="M27">
        <v>15.48629271604198</v>
      </c>
      <c r="N27">
        <v>980</v>
      </c>
      <c r="O27">
        <v>35.593788087082913</v>
      </c>
      <c r="P27">
        <v>980</v>
      </c>
      <c r="Q27">
        <v>15.893967028618814</v>
      </c>
      <c r="R27">
        <v>1102.5</v>
      </c>
      <c r="S27">
        <v>1</v>
      </c>
      <c r="T27">
        <v>770.14495820457807</v>
      </c>
      <c r="W27">
        <v>415.5</v>
      </c>
      <c r="X27">
        <v>25</v>
      </c>
      <c r="Y27">
        <v>1102.5</v>
      </c>
      <c r="AA27" s="2" t="s">
        <v>183</v>
      </c>
    </row>
    <row r="28" spans="2:54" x14ac:dyDescent="0.25">
      <c r="B28" s="2"/>
      <c r="C28" s="18"/>
      <c r="D28" s="18"/>
      <c r="E28" s="18"/>
      <c r="G28" s="15">
        <v>11</v>
      </c>
      <c r="K28">
        <v>1102.5</v>
      </c>
      <c r="M28">
        <v>15.806223640664626</v>
      </c>
      <c r="N28">
        <v>1102.5</v>
      </c>
      <c r="O28">
        <v>37.250985995016173</v>
      </c>
      <c r="P28">
        <v>1102.5</v>
      </c>
      <c r="Q28">
        <v>15.966665104278233</v>
      </c>
      <c r="R28">
        <v>1212.75</v>
      </c>
      <c r="S28">
        <v>1</v>
      </c>
      <c r="T28">
        <v>767.08816393998586</v>
      </c>
      <c r="W28">
        <v>457.04999999999995</v>
      </c>
      <c r="X28">
        <v>25</v>
      </c>
      <c r="Y28">
        <v>1212.75</v>
      </c>
      <c r="AA28" s="2" t="s">
        <v>183</v>
      </c>
    </row>
    <row r="29" spans="2:54" x14ac:dyDescent="0.25">
      <c r="B29" s="2"/>
      <c r="C29" s="18"/>
      <c r="D29" s="18"/>
      <c r="E29" s="18"/>
      <c r="G29" s="15">
        <v>12</v>
      </c>
      <c r="K29">
        <v>1225</v>
      </c>
      <c r="M29">
        <v>15.986141048735677</v>
      </c>
      <c r="N29">
        <v>1225</v>
      </c>
      <c r="O29">
        <v>38.273549898001839</v>
      </c>
      <c r="P29">
        <v>1225</v>
      </c>
      <c r="Q29">
        <v>15.993647407170473</v>
      </c>
      <c r="R29">
        <v>1323</v>
      </c>
      <c r="S29">
        <v>1</v>
      </c>
      <c r="T29">
        <v>766.57746718908538</v>
      </c>
      <c r="W29">
        <v>498.59999999999997</v>
      </c>
      <c r="X29">
        <v>25</v>
      </c>
      <c r="Y29">
        <v>1323</v>
      </c>
      <c r="AA29" s="2" t="s">
        <v>183</v>
      </c>
    </row>
    <row r="30" spans="2:54" x14ac:dyDescent="0.25">
      <c r="B30" s="2"/>
      <c r="C30" s="18"/>
      <c r="D30" s="18"/>
      <c r="E30" s="18"/>
      <c r="G30" s="15">
        <v>13</v>
      </c>
      <c r="K30">
        <v>1347.5</v>
      </c>
      <c r="M30">
        <v>16.002285628336882</v>
      </c>
      <c r="N30">
        <v>1347.5</v>
      </c>
      <c r="O30">
        <v>38.465424206710587</v>
      </c>
      <c r="P30">
        <v>1347.5</v>
      </c>
      <c r="Q30">
        <v>15.997520676321036</v>
      </c>
      <c r="R30">
        <v>1433.25</v>
      </c>
      <c r="S30">
        <v>1</v>
      </c>
      <c r="T30">
        <v>766.39219212634066</v>
      </c>
      <c r="W30">
        <v>540.15</v>
      </c>
      <c r="X30">
        <v>25</v>
      </c>
      <c r="Y30">
        <v>1433.25</v>
      </c>
      <c r="AA30" s="2" t="s">
        <v>183</v>
      </c>
    </row>
    <row r="31" spans="2:54" x14ac:dyDescent="0.25">
      <c r="B31" s="2"/>
      <c r="C31" s="18"/>
      <c r="D31" s="18"/>
      <c r="E31" s="18"/>
      <c r="G31" s="15">
        <v>14</v>
      </c>
      <c r="K31">
        <v>1470</v>
      </c>
      <c r="M31">
        <v>16.00652921799767</v>
      </c>
      <c r="N31">
        <v>1470</v>
      </c>
      <c r="O31">
        <v>38.573327369725895</v>
      </c>
      <c r="P31">
        <v>1470</v>
      </c>
      <c r="Q31">
        <v>15.999602785976863</v>
      </c>
      <c r="R31">
        <v>1543.5</v>
      </c>
      <c r="S31">
        <v>1</v>
      </c>
      <c r="T31">
        <v>766.25429579223646</v>
      </c>
      <c r="W31">
        <v>581.69999999999993</v>
      </c>
      <c r="X31">
        <v>25</v>
      </c>
      <c r="Y31">
        <v>1543.5</v>
      </c>
      <c r="AA31" s="2" t="s">
        <v>183</v>
      </c>
    </row>
    <row r="32" spans="2:54" x14ac:dyDescent="0.25">
      <c r="B32" s="2"/>
      <c r="C32" s="18"/>
      <c r="D32" s="18"/>
      <c r="E32" s="18"/>
      <c r="G32" s="15">
        <v>15</v>
      </c>
      <c r="K32">
        <v>1592.5</v>
      </c>
      <c r="M32">
        <v>16.010224939131366</v>
      </c>
      <c r="N32">
        <v>1592.5</v>
      </c>
      <c r="O32">
        <v>38.663250976858066</v>
      </c>
      <c r="P32">
        <v>1592.5</v>
      </c>
      <c r="Q32">
        <v>16.00117823825466</v>
      </c>
      <c r="R32">
        <v>1653.75</v>
      </c>
      <c r="S32">
        <v>1</v>
      </c>
      <c r="T32">
        <v>766.19404540003518</v>
      </c>
      <c r="W32">
        <v>623.25</v>
      </c>
      <c r="X32">
        <v>25</v>
      </c>
      <c r="Y32">
        <v>1653.75</v>
      </c>
      <c r="AA32" s="2" t="s">
        <v>183</v>
      </c>
    </row>
    <row r="33" spans="2:54" x14ac:dyDescent="0.25">
      <c r="B33" s="2"/>
      <c r="C33" s="18"/>
      <c r="D33" s="18"/>
      <c r="E33" s="18"/>
      <c r="G33" s="15">
        <v>16</v>
      </c>
      <c r="K33">
        <v>1715</v>
      </c>
      <c r="M33">
        <v>16.013963942973223</v>
      </c>
      <c r="N33">
        <v>1715</v>
      </c>
      <c r="O33">
        <v>38.755867430903749</v>
      </c>
      <c r="P33">
        <v>1715</v>
      </c>
      <c r="Q33">
        <v>16.002242691264055</v>
      </c>
      <c r="R33">
        <v>1764</v>
      </c>
      <c r="S33">
        <v>1</v>
      </c>
      <c r="T33">
        <v>766.23944652997261</v>
      </c>
      <c r="W33">
        <v>664.8</v>
      </c>
      <c r="X33">
        <v>25</v>
      </c>
      <c r="Y33">
        <v>1764</v>
      </c>
      <c r="AA33" s="2" t="s">
        <v>183</v>
      </c>
    </row>
    <row r="34" spans="2:54" x14ac:dyDescent="0.25">
      <c r="B34" s="2"/>
      <c r="C34" s="18"/>
      <c r="D34" s="18"/>
      <c r="E34" s="18"/>
      <c r="G34" s="15">
        <v>17</v>
      </c>
      <c r="K34">
        <v>1837.5</v>
      </c>
      <c r="M34">
        <v>16.018370603276257</v>
      </c>
      <c r="N34">
        <v>1837.5</v>
      </c>
      <c r="O34">
        <v>38.854085086037259</v>
      </c>
      <c r="P34">
        <v>1837.5</v>
      </c>
      <c r="Q34">
        <v>16.002595827262866</v>
      </c>
      <c r="R34">
        <v>1874.25</v>
      </c>
      <c r="S34">
        <v>1</v>
      </c>
      <c r="T34">
        <v>766.40868711269013</v>
      </c>
      <c r="W34">
        <v>706.34999999999991</v>
      </c>
      <c r="X34">
        <v>25</v>
      </c>
      <c r="Y34">
        <v>1874.25</v>
      </c>
      <c r="AA34" s="2" t="s">
        <v>183</v>
      </c>
    </row>
    <row r="35" spans="2:54" x14ac:dyDescent="0.25">
      <c r="B35" s="2"/>
      <c r="C35" s="18"/>
      <c r="D35" s="18"/>
      <c r="E35" s="18"/>
      <c r="G35" s="15">
        <v>18</v>
      </c>
      <c r="K35">
        <v>1960</v>
      </c>
      <c r="M35">
        <v>16.020811963161744</v>
      </c>
      <c r="N35">
        <v>1960</v>
      </c>
      <c r="O35">
        <v>38.948895890970611</v>
      </c>
      <c r="P35">
        <v>1960</v>
      </c>
      <c r="Q35">
        <v>16.002112427236526</v>
      </c>
      <c r="R35">
        <v>1984.5</v>
      </c>
      <c r="S35">
        <v>1</v>
      </c>
      <c r="T35">
        <v>766.69027022962223</v>
      </c>
      <c r="W35">
        <v>747.9</v>
      </c>
      <c r="X35">
        <v>25</v>
      </c>
      <c r="Y35">
        <v>1984.5</v>
      </c>
      <c r="AA35" s="2" t="s">
        <v>183</v>
      </c>
    </row>
    <row r="36" spans="2:54" x14ac:dyDescent="0.25">
      <c r="B36" s="2"/>
      <c r="C36" s="18"/>
      <c r="D36" s="18"/>
      <c r="E36" s="18"/>
      <c r="G36" s="15">
        <v>19</v>
      </c>
      <c r="K36">
        <v>2082.5</v>
      </c>
      <c r="M36">
        <v>16.023678926213972</v>
      </c>
      <c r="N36">
        <v>2082.5</v>
      </c>
      <c r="O36">
        <v>39.041048535879362</v>
      </c>
      <c r="P36">
        <v>2082.5</v>
      </c>
      <c r="Q36">
        <v>16.00086493895277</v>
      </c>
      <c r="R36">
        <v>2094.75</v>
      </c>
      <c r="S36">
        <v>1</v>
      </c>
      <c r="T36">
        <v>767.09811184597686</v>
      </c>
      <c r="W36">
        <v>789.44999999999993</v>
      </c>
      <c r="X36">
        <v>27.716441364583854</v>
      </c>
      <c r="Y36">
        <v>2094.75</v>
      </c>
      <c r="AA36" s="2" t="s">
        <v>183</v>
      </c>
      <c r="AV36">
        <f>Pline_out_atma_</f>
        <v>22.038780978525899</v>
      </c>
    </row>
    <row r="37" spans="2:54" x14ac:dyDescent="0.25">
      <c r="B37" s="2"/>
      <c r="C37" s="18"/>
      <c r="D37" s="18"/>
      <c r="E37" s="18"/>
      <c r="G37" s="15">
        <v>20</v>
      </c>
      <c r="K37">
        <v>2205</v>
      </c>
      <c r="M37">
        <v>16</v>
      </c>
      <c r="N37">
        <v>2205</v>
      </c>
      <c r="O37">
        <v>39</v>
      </c>
      <c r="P37">
        <v>2205</v>
      </c>
      <c r="Q37">
        <v>16</v>
      </c>
      <c r="R37">
        <v>2205</v>
      </c>
      <c r="S37">
        <v>1</v>
      </c>
      <c r="T37">
        <v>767.13082595383207</v>
      </c>
      <c r="W37">
        <v>831</v>
      </c>
      <c r="X37">
        <v>30.307692304088032</v>
      </c>
      <c r="Y37">
        <v>2205</v>
      </c>
      <c r="AA37" s="2" t="s">
        <v>183</v>
      </c>
    </row>
    <row r="38" spans="2:54" x14ac:dyDescent="0.25">
      <c r="B38" s="2"/>
      <c r="C38" s="18"/>
      <c r="D38" s="18"/>
      <c r="E38" s="18"/>
    </row>
    <row r="39" spans="2:54" x14ac:dyDescent="0.25">
      <c r="C39" s="18"/>
      <c r="D39" s="18"/>
      <c r="E39" s="18"/>
      <c r="BB39">
        <f>mu_emulsion_mpas(19.48,15.76)</f>
        <v>1073.5849257868324</v>
      </c>
    </row>
    <row r="40" spans="2:54" x14ac:dyDescent="0.25">
      <c r="C40" s="18"/>
      <c r="D40" s="18"/>
      <c r="E40" s="18"/>
      <c r="N40" t="s">
        <v>392</v>
      </c>
      <c r="O40" t="s">
        <v>393</v>
      </c>
      <c r="P40" t="s">
        <v>394</v>
      </c>
      <c r="V40" t="s">
        <v>361</v>
      </c>
    </row>
    <row r="41" spans="2:54" x14ac:dyDescent="0.25">
      <c r="C41" s="18"/>
      <c r="D41" s="18"/>
      <c r="E41" s="18"/>
      <c r="L41" s="182">
        <v>3</v>
      </c>
      <c r="M41" t="str">
        <f>P5</f>
        <v>P пр.</v>
      </c>
      <c r="N41" s="148">
        <f>Q5</f>
        <v>32</v>
      </c>
      <c r="O41" s="148">
        <f>Pint_atma</f>
        <v>30.307692304088032</v>
      </c>
      <c r="P41" s="150">
        <f>AC7</f>
        <v>5.2884615497248988E-2</v>
      </c>
    </row>
    <row r="42" spans="2:54" x14ac:dyDescent="0.25">
      <c r="C42" s="18"/>
      <c r="D42" s="18"/>
      <c r="E42" s="18"/>
      <c r="L42" s="182"/>
      <c r="M42" t="str">
        <f t="shared" ref="M42:N42" si="0">P6</f>
        <v>Р лин.</v>
      </c>
      <c r="N42" s="148">
        <f t="shared" si="0"/>
        <v>21.6</v>
      </c>
      <c r="O42" s="148">
        <f>Pline_out_atma_</f>
        <v>22.038780978525899</v>
      </c>
      <c r="P42" s="150">
        <f>AC5</f>
        <v>2.0313934191013797E-2</v>
      </c>
      <c r="Y42">
        <f>PowerFliud_out_/Power_CS_out</f>
        <v>0.14072085897547076</v>
      </c>
    </row>
    <row r="43" spans="2:54" x14ac:dyDescent="0.25">
      <c r="C43" s="18"/>
      <c r="D43" s="18"/>
      <c r="E43" s="18"/>
      <c r="L43" s="182"/>
      <c r="M43" t="str">
        <f t="shared" ref="M43:N43" si="1">P7</f>
        <v>P буф.</v>
      </c>
      <c r="N43" s="148">
        <f t="shared" si="1"/>
        <v>27</v>
      </c>
      <c r="O43" s="148">
        <f>Pbuf_out_atma_</f>
        <v>28.069293186580246</v>
      </c>
      <c r="P43" s="150">
        <f>AC6</f>
        <v>3.9603451354823939E-2</v>
      </c>
    </row>
    <row r="44" spans="2:54" x14ac:dyDescent="0.25">
      <c r="C44" s="18"/>
      <c r="D44" s="18"/>
      <c r="E44" s="18"/>
      <c r="L44" s="182"/>
      <c r="M44" t="str">
        <f>V7</f>
        <v>I ПЭД</v>
      </c>
      <c r="N44" s="148">
        <f>W7</f>
        <v>42.94</v>
      </c>
      <c r="O44" s="148">
        <f>I_out_A</f>
        <v>42.793868183014389</v>
      </c>
      <c r="P44" s="150">
        <f>AC9</f>
        <v>3.4031629479647999E-3</v>
      </c>
    </row>
    <row r="45" spans="2:54" x14ac:dyDescent="0.25">
      <c r="C45" s="18"/>
      <c r="D45" s="18"/>
      <c r="E45" s="18"/>
      <c r="L45" s="182"/>
      <c r="M45" t="str">
        <f>V9</f>
        <v>Загрузка ПЭД</v>
      </c>
      <c r="N45" s="148">
        <f>W9</f>
        <v>0.55000000000000004</v>
      </c>
      <c r="O45" s="148">
        <f>Load_fr_out</f>
        <v>0.53492335228767984</v>
      </c>
      <c r="P45" s="150">
        <f>AC10</f>
        <v>2.741208674967309E-2</v>
      </c>
      <c r="Q45" t="s">
        <v>263</v>
      </c>
    </row>
    <row r="46" spans="2:54" ht="15.75" thickBot="1" x14ac:dyDescent="0.3">
      <c r="L46" s="182"/>
      <c r="M46" t="s">
        <v>389</v>
      </c>
      <c r="N46" s="148">
        <f>Z4</f>
        <v>82.09</v>
      </c>
      <c r="O46" s="148">
        <f>Power_CS_out</f>
        <v>81.706988156212248</v>
      </c>
      <c r="P46" s="150">
        <f>AC11</f>
        <v>4.6657551929316097E-3</v>
      </c>
      <c r="S46">
        <f t="array" ref="S46">MuMix_hmes_</f>
        <v>0</v>
      </c>
    </row>
    <row r="47" spans="2:54" ht="15.75" x14ac:dyDescent="0.25">
      <c r="L47" s="182"/>
      <c r="M47" s="152" t="s">
        <v>385</v>
      </c>
      <c r="N47" s="153" t="str">
        <f>N40</f>
        <v>Факт</v>
      </c>
      <c r="O47" s="153" t="str">
        <f t="shared" ref="O47:P47" si="2">O40</f>
        <v>Расчет</v>
      </c>
      <c r="P47" s="153" t="str">
        <f t="shared" si="2"/>
        <v>Отн. Ошибка</v>
      </c>
      <c r="Q47" s="151" t="s">
        <v>391</v>
      </c>
    </row>
    <row r="48" spans="2:54" ht="15.75" x14ac:dyDescent="0.25">
      <c r="L48" s="182"/>
      <c r="M48" s="152" t="s">
        <v>402</v>
      </c>
      <c r="N48" s="154">
        <f t="shared" ref="N48:O50" si="3">N41/10</f>
        <v>3.2</v>
      </c>
      <c r="O48" s="154">
        <f t="shared" si="3"/>
        <v>3.0307692304088034</v>
      </c>
      <c r="P48" s="155">
        <f>P41</f>
        <v>5.2884615497248988E-2</v>
      </c>
      <c r="Q48" s="190">
        <f>AVERAGE(P48:P53)</f>
        <v>2.471383432227604E-2</v>
      </c>
    </row>
    <row r="49" spans="12:54" ht="15.75" x14ac:dyDescent="0.25">
      <c r="L49" s="182"/>
      <c r="M49" s="152" t="s">
        <v>403</v>
      </c>
      <c r="N49" s="154">
        <f t="shared" si="3"/>
        <v>2.16</v>
      </c>
      <c r="O49" s="154">
        <f t="shared" si="3"/>
        <v>2.20387809785259</v>
      </c>
      <c r="P49" s="155">
        <f>P42</f>
        <v>2.0313934191013797E-2</v>
      </c>
      <c r="Q49" s="191"/>
    </row>
    <row r="50" spans="12:54" ht="15.75" x14ac:dyDescent="0.25">
      <c r="L50" s="182"/>
      <c r="M50" s="152" t="s">
        <v>404</v>
      </c>
      <c r="N50" s="154">
        <f t="shared" si="3"/>
        <v>2.7</v>
      </c>
      <c r="O50" s="154">
        <f t="shared" si="3"/>
        <v>2.8069293186580246</v>
      </c>
      <c r="P50" s="155">
        <f>P43</f>
        <v>3.9603451354823939E-2</v>
      </c>
      <c r="Q50" s="191"/>
    </row>
    <row r="51" spans="12:54" ht="15.75" x14ac:dyDescent="0.25">
      <c r="L51" s="182"/>
      <c r="M51" s="152" t="s">
        <v>395</v>
      </c>
      <c r="N51" s="154">
        <f>N44</f>
        <v>42.94</v>
      </c>
      <c r="O51" s="154">
        <f>O44</f>
        <v>42.793868183014389</v>
      </c>
      <c r="P51" s="155">
        <f>P44</f>
        <v>3.4031629479647999E-3</v>
      </c>
      <c r="Q51" s="191"/>
    </row>
    <row r="52" spans="12:54" ht="15.75" x14ac:dyDescent="0.25">
      <c r="L52" s="182"/>
      <c r="M52" s="152" t="s">
        <v>397</v>
      </c>
      <c r="N52" s="156">
        <f>N45*100</f>
        <v>55.000000000000007</v>
      </c>
      <c r="O52" s="156">
        <f>O45*100</f>
        <v>53.492335228767985</v>
      </c>
      <c r="P52" s="155">
        <f>P45</f>
        <v>2.741208674967309E-2</v>
      </c>
      <c r="Q52" s="191"/>
    </row>
    <row r="53" spans="12:54" ht="16.5" thickBot="1" x14ac:dyDescent="0.3">
      <c r="L53" s="182"/>
      <c r="M53" s="152" t="s">
        <v>396</v>
      </c>
      <c r="N53" s="154">
        <f>N46</f>
        <v>82.09</v>
      </c>
      <c r="O53" s="154">
        <f>O46</f>
        <v>81.706988156212248</v>
      </c>
      <c r="P53" s="155">
        <f t="shared" ref="P53" si="4">P46</f>
        <v>4.6657551929316097E-3</v>
      </c>
      <c r="Q53" s="192"/>
    </row>
    <row r="54" spans="12:54" ht="16.5" thickBot="1" x14ac:dyDescent="0.3">
      <c r="L54" s="182"/>
      <c r="M54" s="166" t="s">
        <v>385</v>
      </c>
      <c r="N54" s="167" t="s">
        <v>406</v>
      </c>
      <c r="O54" s="157"/>
      <c r="P54" s="158"/>
    </row>
    <row r="55" spans="12:54" ht="15.75" x14ac:dyDescent="0.25">
      <c r="L55" s="182"/>
      <c r="M55" s="164" t="s">
        <v>405</v>
      </c>
      <c r="N55" s="165">
        <f>Q10/10</f>
        <v>7.8229785132673531</v>
      </c>
      <c r="O55" s="157"/>
      <c r="P55" s="157"/>
      <c r="AB55" s="175" t="s">
        <v>382</v>
      </c>
      <c r="AC55" s="175"/>
      <c r="AD55" s="175"/>
      <c r="AE55" s="175"/>
      <c r="AF55" s="175"/>
      <c r="AG55" s="175"/>
      <c r="AH55" s="175"/>
      <c r="AI55" s="175"/>
      <c r="AJ55" s="175" t="s">
        <v>384</v>
      </c>
      <c r="AK55" s="175"/>
      <c r="AL55" s="175"/>
      <c r="AM55" s="175"/>
      <c r="AN55" s="175"/>
      <c r="AO55" s="175"/>
      <c r="AP55" s="175"/>
      <c r="AQ55" s="175"/>
      <c r="AR55" s="175"/>
      <c r="AS55" s="175" t="s">
        <v>383</v>
      </c>
      <c r="AT55" s="175"/>
      <c r="AU55" s="175"/>
      <c r="AV55" s="175"/>
      <c r="AW55" s="175"/>
      <c r="AX55" s="175"/>
      <c r="AY55" s="175"/>
      <c r="AZ55" s="175"/>
      <c r="BA55" s="175"/>
      <c r="BB55" s="175"/>
    </row>
    <row r="56" spans="12:54" ht="15.75" x14ac:dyDescent="0.25">
      <c r="L56" s="182"/>
      <c r="M56" s="159" t="s">
        <v>399</v>
      </c>
      <c r="N56" s="160">
        <f>T10</f>
        <v>20.362441206809386</v>
      </c>
      <c r="O56" s="157"/>
      <c r="P56" s="157"/>
      <c r="AB56" t="s">
        <v>264</v>
      </c>
      <c r="AC56" t="s">
        <v>258</v>
      </c>
      <c r="AD56" t="s">
        <v>265</v>
      </c>
      <c r="AE56" t="s">
        <v>259</v>
      </c>
      <c r="AF56" t="s">
        <v>260</v>
      </c>
      <c r="AG56" t="s">
        <v>261</v>
      </c>
      <c r="AH56" t="s">
        <v>262</v>
      </c>
      <c r="AI56" t="s">
        <v>266</v>
      </c>
    </row>
    <row r="57" spans="12:54" ht="15.75" x14ac:dyDescent="0.25">
      <c r="L57" s="182"/>
      <c r="M57" s="159" t="s">
        <v>400</v>
      </c>
      <c r="N57" s="161">
        <f>EffESP_out_d</f>
        <v>0.16032912234991054</v>
      </c>
      <c r="O57" s="157"/>
      <c r="P57" s="157"/>
      <c r="AA57" s="175" t="s">
        <v>353</v>
      </c>
      <c r="AB57" s="175"/>
      <c r="AC57" s="175"/>
      <c r="AD57" s="175"/>
      <c r="AE57" s="175"/>
      <c r="AF57" s="175"/>
      <c r="AG57" s="175"/>
      <c r="AH57" s="175"/>
      <c r="AI57" s="175"/>
      <c r="AJ57" s="175" t="s">
        <v>352</v>
      </c>
      <c r="AK57" s="175"/>
      <c r="AL57" s="175"/>
      <c r="AM57" s="175"/>
      <c r="AN57" s="175"/>
      <c r="AO57" s="175"/>
      <c r="AP57" s="175"/>
      <c r="AQ57" s="175"/>
      <c r="AR57" s="175"/>
      <c r="AS57" s="175" t="s">
        <v>354</v>
      </c>
      <c r="AT57" s="175"/>
      <c r="AU57" s="175"/>
      <c r="AV57" s="175"/>
      <c r="AW57" s="175"/>
      <c r="AX57" s="175"/>
      <c r="AY57" s="175"/>
      <c r="AZ57" s="175"/>
      <c r="BA57" s="175"/>
    </row>
    <row r="58" spans="12:54" ht="16.5" thickBot="1" x14ac:dyDescent="0.3">
      <c r="L58" s="182"/>
      <c r="M58" s="162" t="s">
        <v>401</v>
      </c>
      <c r="N58" s="163">
        <f>efficency_ESP_total_out_d</f>
        <v>0.12664877307792369</v>
      </c>
      <c r="Q58" t="s">
        <v>398</v>
      </c>
      <c r="AA58" t="s">
        <v>177</v>
      </c>
      <c r="AB58" t="s">
        <v>264</v>
      </c>
      <c r="AC58" t="s">
        <v>258</v>
      </c>
      <c r="AD58" t="s">
        <v>265</v>
      </c>
      <c r="AE58" t="s">
        <v>259</v>
      </c>
      <c r="AF58" t="s">
        <v>260</v>
      </c>
      <c r="AG58" t="s">
        <v>261</v>
      </c>
      <c r="AH58" t="s">
        <v>262</v>
      </c>
      <c r="AI58" t="s">
        <v>266</v>
      </c>
      <c r="AJ58" t="s">
        <v>177</v>
      </c>
      <c r="AK58" t="s">
        <v>267</v>
      </c>
      <c r="AL58" t="s">
        <v>258</v>
      </c>
      <c r="AM58" t="s">
        <v>268</v>
      </c>
      <c r="AN58" t="s">
        <v>259</v>
      </c>
      <c r="AO58" t="s">
        <v>260</v>
      </c>
      <c r="AP58" t="s">
        <v>261</v>
      </c>
      <c r="AQ58" t="s">
        <v>262</v>
      </c>
      <c r="AR58" t="s">
        <v>269</v>
      </c>
      <c r="AT58" t="s">
        <v>177</v>
      </c>
      <c r="AU58" t="s">
        <v>267</v>
      </c>
      <c r="AV58" t="s">
        <v>258</v>
      </c>
      <c r="AW58" t="s">
        <v>268</v>
      </c>
      <c r="AX58" t="s">
        <v>259</v>
      </c>
      <c r="AY58" t="s">
        <v>260</v>
      </c>
      <c r="AZ58" t="s">
        <v>261</v>
      </c>
      <c r="BA58" t="s">
        <v>262</v>
      </c>
      <c r="BB58" t="s">
        <v>266</v>
      </c>
    </row>
    <row r="59" spans="12:54" x14ac:dyDescent="0.25">
      <c r="N59" t="s">
        <v>392</v>
      </c>
      <c r="O59" t="s">
        <v>393</v>
      </c>
      <c r="P59" t="s">
        <v>394</v>
      </c>
    </row>
    <row r="60" spans="12:54" x14ac:dyDescent="0.25">
      <c r="L60" s="182">
        <v>2</v>
      </c>
      <c r="M60" t="s">
        <v>366</v>
      </c>
      <c r="N60" s="148">
        <v>32</v>
      </c>
      <c r="O60" s="148">
        <v>30.307692304088032</v>
      </c>
      <c r="P60" s="150">
        <v>5.2884615497248988E-2</v>
      </c>
      <c r="U60">
        <v>1</v>
      </c>
      <c r="Z60">
        <v>1</v>
      </c>
      <c r="AA60">
        <v>1</v>
      </c>
      <c r="AB60">
        <v>0.10505733858437059</v>
      </c>
      <c r="AC60">
        <v>2.6971788755061829E-2</v>
      </c>
      <c r="AD60">
        <v>289.30641585336571</v>
      </c>
      <c r="AE60">
        <v>30.393762084937762</v>
      </c>
      <c r="AF60">
        <v>30.510971442197199</v>
      </c>
      <c r="AG60">
        <v>127.49371585560687</v>
      </c>
      <c r="AH60">
        <v>15.764156206639354</v>
      </c>
      <c r="AI60">
        <v>1065.2576830848093</v>
      </c>
      <c r="AJ60">
        <v>1</v>
      </c>
      <c r="AK60">
        <v>0.14866566845218315</v>
      </c>
      <c r="AL60">
        <v>2.6971788755061829E-2</v>
      </c>
      <c r="AM60">
        <v>252.56383801233369</v>
      </c>
      <c r="AN60">
        <v>37.54757180495249</v>
      </c>
      <c r="AO60">
        <v>30.558817453165425</v>
      </c>
      <c r="AP60">
        <v>127.49371585560687</v>
      </c>
      <c r="AQ60">
        <v>15.739493705266273</v>
      </c>
      <c r="AR60">
        <v>857.83121608852844</v>
      </c>
      <c r="AS60">
        <v>1</v>
      </c>
      <c r="AT60">
        <v>0.11319568394003664</v>
      </c>
      <c r="AU60">
        <v>0.11638012587001786</v>
      </c>
      <c r="AV60">
        <v>2.6971788755061829E-2</v>
      </c>
      <c r="AW60">
        <v>302.37853968033454</v>
      </c>
      <c r="AX60">
        <v>35.190852508389526</v>
      </c>
      <c r="AY60">
        <v>30.543055275846548</v>
      </c>
      <c r="AZ60">
        <v>127.49371585560687</v>
      </c>
      <c r="BA60">
        <v>15.754755931732836</v>
      </c>
      <c r="BB60">
        <v>1065.2576830848093</v>
      </c>
    </row>
    <row r="61" spans="12:54" x14ac:dyDescent="0.25">
      <c r="L61" s="182"/>
      <c r="M61" t="s">
        <v>367</v>
      </c>
      <c r="N61" s="148">
        <v>21.6</v>
      </c>
      <c r="O61" s="148">
        <v>36.276158571773848</v>
      </c>
      <c r="P61" s="150">
        <v>0.67945178573027065</v>
      </c>
      <c r="U61">
        <v>2</v>
      </c>
      <c r="Z61">
        <v>2</v>
      </c>
      <c r="AA61">
        <v>9.0243902439024382</v>
      </c>
      <c r="AB61">
        <v>0.11015037781237763</v>
      </c>
      <c r="AC61">
        <v>0</v>
      </c>
      <c r="AD61">
        <v>336.89009258591159</v>
      </c>
      <c r="AE61">
        <v>38.489424613254037</v>
      </c>
      <c r="AF61">
        <v>32.261747990176239</v>
      </c>
      <c r="AG61">
        <v>124.3481085757726</v>
      </c>
      <c r="AH61">
        <v>16.461531649126464</v>
      </c>
      <c r="AI61">
        <v>1008.3479105637548</v>
      </c>
      <c r="AJ61">
        <v>9.0243902439024382</v>
      </c>
      <c r="AK61">
        <v>0.16568080394970019</v>
      </c>
      <c r="AL61">
        <v>0</v>
      </c>
      <c r="AM61">
        <v>273.47457562216744</v>
      </c>
      <c r="AN61">
        <v>48.587493020248147</v>
      </c>
      <c r="AO61">
        <v>32.764678688608591</v>
      </c>
      <c r="AP61">
        <v>124.33664804031741</v>
      </c>
      <c r="AQ61">
        <v>16.207413960861988</v>
      </c>
      <c r="AR61">
        <v>723.76434254693868</v>
      </c>
      <c r="AS61">
        <v>9.0243902439024382</v>
      </c>
      <c r="AT61">
        <v>0.11696005358744989</v>
      </c>
      <c r="AU61">
        <v>0.12263782386411394</v>
      </c>
      <c r="AV61">
        <v>0</v>
      </c>
      <c r="AW61">
        <v>351.90282011876491</v>
      </c>
      <c r="AX61">
        <v>44.774281846144305</v>
      </c>
      <c r="AY61">
        <v>32.583002234064018</v>
      </c>
      <c r="AZ61">
        <v>124.3465210469695</v>
      </c>
      <c r="BA61">
        <v>16.375767234010656</v>
      </c>
      <c r="BB61">
        <v>1014.1878077849797</v>
      </c>
    </row>
    <row r="62" spans="12:54" x14ac:dyDescent="0.25">
      <c r="L62" s="182"/>
      <c r="M62" t="s">
        <v>368</v>
      </c>
      <c r="N62" s="148">
        <v>27</v>
      </c>
      <c r="O62" s="148">
        <v>41.551215187356178</v>
      </c>
      <c r="P62" s="150">
        <v>0.53893389582800655</v>
      </c>
      <c r="U62">
        <v>3</v>
      </c>
      <c r="Z62">
        <v>3</v>
      </c>
      <c r="AA62">
        <v>17.048780487804876</v>
      </c>
      <c r="AB62">
        <v>0.11534544860895264</v>
      </c>
      <c r="AC62">
        <v>0</v>
      </c>
      <c r="AD62">
        <v>2632.1619435636003</v>
      </c>
      <c r="AE62">
        <v>320.12498937597883</v>
      </c>
      <c r="AF62">
        <v>35.929313970327847</v>
      </c>
      <c r="AG62">
        <v>124.45871839219443</v>
      </c>
      <c r="AH62">
        <v>17.804027097645335</v>
      </c>
      <c r="AI62">
        <v>945.72163058413673</v>
      </c>
      <c r="AJ62">
        <v>17.048780487804876</v>
      </c>
      <c r="AK62">
        <v>0.17987694599084744</v>
      </c>
      <c r="AL62">
        <v>0</v>
      </c>
      <c r="AM62">
        <v>2067.3255922084413</v>
      </c>
      <c r="AN62">
        <v>407.75147555137715</v>
      </c>
      <c r="AO62">
        <v>37.421734574661933</v>
      </c>
      <c r="AP62">
        <v>124.42862830209241</v>
      </c>
      <c r="AQ62">
        <v>17.056867388799184</v>
      </c>
      <c r="AR62">
        <v>632.00937099620648</v>
      </c>
      <c r="AS62">
        <v>17.048780487804876</v>
      </c>
      <c r="AT62">
        <v>0.12211706700193622</v>
      </c>
      <c r="AU62">
        <v>0.1284509049418931</v>
      </c>
      <c r="AV62">
        <v>0</v>
      </c>
      <c r="AW62">
        <v>2753.0998385862349</v>
      </c>
      <c r="AX62">
        <v>372.93622515789679</v>
      </c>
      <c r="AY62">
        <v>36.853442784597505</v>
      </c>
      <c r="AZ62">
        <v>124.4533220308319</v>
      </c>
      <c r="BA62">
        <v>17.571163609961609</v>
      </c>
      <c r="BB62">
        <v>957.27671482544974</v>
      </c>
    </row>
    <row r="63" spans="12:54" x14ac:dyDescent="0.25">
      <c r="L63" s="182"/>
      <c r="M63" t="s">
        <v>243</v>
      </c>
      <c r="N63" s="148">
        <v>42.94</v>
      </c>
      <c r="O63" s="148">
        <v>44.517707801252207</v>
      </c>
      <c r="P63" s="150">
        <v>3.674214721127643E-2</v>
      </c>
      <c r="U63">
        <v>4</v>
      </c>
      <c r="V63">
        <f>U60/U61/U62/U63</f>
        <v>4.1666666666666664E-2</v>
      </c>
      <c r="W63">
        <f>V63*U63/U64</f>
        <v>3.3333333333333333E-2</v>
      </c>
      <c r="Z63">
        <v>4</v>
      </c>
      <c r="AA63">
        <v>25.073170731707314</v>
      </c>
      <c r="AB63">
        <v>0.11820091446379601</v>
      </c>
      <c r="AC63">
        <v>0</v>
      </c>
      <c r="AD63">
        <v>2537.3379336718917</v>
      </c>
      <c r="AE63">
        <v>323.45716522111474</v>
      </c>
      <c r="AF63">
        <v>37.708383008564688</v>
      </c>
      <c r="AG63">
        <v>124.54370187128856</v>
      </c>
      <c r="AH63">
        <v>18.401712003043549</v>
      </c>
      <c r="AI63">
        <v>900.09416505773754</v>
      </c>
      <c r="AJ63">
        <v>25.073170731707314</v>
      </c>
      <c r="AK63">
        <v>0.18717241158468201</v>
      </c>
      <c r="AL63">
        <v>0</v>
      </c>
      <c r="AM63">
        <v>1950.1925295185767</v>
      </c>
      <c r="AN63">
        <v>413.94122837682164</v>
      </c>
      <c r="AO63">
        <v>39.700144024252666</v>
      </c>
      <c r="AP63">
        <v>124.49688975202642</v>
      </c>
      <c r="AQ63">
        <v>17.414435805840991</v>
      </c>
      <c r="AR63">
        <v>570.35712409577263</v>
      </c>
      <c r="AS63">
        <v>25.073170731707314</v>
      </c>
      <c r="AT63">
        <v>0.1252639713404714</v>
      </c>
      <c r="AU63">
        <v>0.13165331436157485</v>
      </c>
      <c r="AV63">
        <v>0</v>
      </c>
      <c r="AW63">
        <v>2655.9375442362052</v>
      </c>
      <c r="AX63">
        <v>377.24758187485861</v>
      </c>
      <c r="AY63">
        <v>38.928821358955652</v>
      </c>
      <c r="AZ63">
        <v>124.53488975658584</v>
      </c>
      <c r="BA63">
        <v>18.103260487012886</v>
      </c>
      <c r="BB63">
        <v>915.42864638501214</v>
      </c>
    </row>
    <row r="64" spans="12:54" x14ac:dyDescent="0.25">
      <c r="L64" s="182"/>
      <c r="M64" t="s">
        <v>247</v>
      </c>
      <c r="N64" s="148">
        <v>0.55000000000000004</v>
      </c>
      <c r="O64" s="148">
        <v>0.55647134751565253</v>
      </c>
      <c r="P64" s="150">
        <v>1.1766086392095419E-2</v>
      </c>
      <c r="Q64" t="s">
        <v>263</v>
      </c>
      <c r="U64">
        <v>5</v>
      </c>
      <c r="W64">
        <f>U60/U61/U62/U64</f>
        <v>3.3333333333333333E-2</v>
      </c>
      <c r="Z64">
        <v>5</v>
      </c>
      <c r="AA64">
        <v>33.097560975609753</v>
      </c>
      <c r="AB64">
        <v>0.12075408148358519</v>
      </c>
      <c r="AC64">
        <v>0</v>
      </c>
      <c r="AD64">
        <v>2470.637306947227</v>
      </c>
      <c r="AE64">
        <v>325.85201254826518</v>
      </c>
      <c r="AF64">
        <v>39.498718930545884</v>
      </c>
      <c r="AG64">
        <v>124.60972609286462</v>
      </c>
      <c r="AH64">
        <v>18.98211599937764</v>
      </c>
      <c r="AI64">
        <v>867.14819810224162</v>
      </c>
      <c r="AJ64">
        <v>33.097560975609753</v>
      </c>
      <c r="AK64">
        <v>0.19350685907687593</v>
      </c>
      <c r="AL64">
        <v>0</v>
      </c>
      <c r="AM64">
        <v>1876.0083944628047</v>
      </c>
      <c r="AN64">
        <v>417.79197732796626</v>
      </c>
      <c r="AO64">
        <v>41.997117338934473</v>
      </c>
      <c r="AP64">
        <v>124.54767249734864</v>
      </c>
      <c r="AQ64">
        <v>17.755167691270096</v>
      </c>
      <c r="AR64">
        <v>529.95957260400576</v>
      </c>
      <c r="AS64">
        <v>33.097560975609753</v>
      </c>
      <c r="AT64">
        <v>0.12811568474717389</v>
      </c>
      <c r="AU64">
        <v>0.13452918481679202</v>
      </c>
      <c r="AV64">
        <v>0</v>
      </c>
      <c r="AW64">
        <v>2586.7625199306449</v>
      </c>
      <c r="AX64">
        <v>380.38718886548372</v>
      </c>
      <c r="AY64">
        <v>41.019175770071378</v>
      </c>
      <c r="AZ64">
        <v>124.59768563700064</v>
      </c>
      <c r="BA64">
        <v>18.619690223524238</v>
      </c>
      <c r="BB64">
        <v>884.79412657235321</v>
      </c>
    </row>
    <row r="65" spans="12:54" ht="15.75" thickBot="1" x14ac:dyDescent="0.3">
      <c r="L65" s="182"/>
      <c r="M65" t="s">
        <v>389</v>
      </c>
      <c r="N65" s="148">
        <v>82.09</v>
      </c>
      <c r="O65" s="148">
        <v>94.613228634350747</v>
      </c>
      <c r="P65" s="150">
        <v>0.15255486215557001</v>
      </c>
      <c r="Z65">
        <v>6</v>
      </c>
      <c r="AA65">
        <v>41.121951219512191</v>
      </c>
      <c r="AB65">
        <v>0.12310310156760146</v>
      </c>
      <c r="AC65">
        <v>0</v>
      </c>
      <c r="AD65">
        <v>2411.480463656485</v>
      </c>
      <c r="AE65">
        <v>328.00645340143916</v>
      </c>
      <c r="AF65">
        <v>41.2992514783761</v>
      </c>
      <c r="AG65">
        <v>124.67214692324505</v>
      </c>
      <c r="AH65">
        <v>19.546998753939171</v>
      </c>
      <c r="AI65">
        <v>837.43584824532263</v>
      </c>
      <c r="AJ65">
        <v>41.121951219512191</v>
      </c>
      <c r="AK65">
        <v>0.19922882190548277</v>
      </c>
      <c r="AL65">
        <v>0</v>
      </c>
      <c r="AM65">
        <v>1811.3016969228956</v>
      </c>
      <c r="AN65">
        <v>421.14544036471762</v>
      </c>
      <c r="AO65">
        <v>44.310457522587654</v>
      </c>
      <c r="AP65">
        <v>124.59458525863089</v>
      </c>
      <c r="AQ65">
        <v>18.081015383306589</v>
      </c>
      <c r="AR65">
        <v>494.09797322415147</v>
      </c>
      <c r="AS65">
        <v>41.121951219512191</v>
      </c>
      <c r="AT65">
        <v>0.1307647845693003</v>
      </c>
      <c r="AU65">
        <v>0.13718793701311427</v>
      </c>
      <c r="AV65">
        <v>0</v>
      </c>
      <c r="AW65">
        <v>2524.854256972892</v>
      </c>
      <c r="AX65">
        <v>383.2401745246267</v>
      </c>
      <c r="AY65">
        <v>43.123230974378025</v>
      </c>
      <c r="AZ65">
        <v>124.65653628668413</v>
      </c>
      <c r="BA65">
        <v>19.121931309470273</v>
      </c>
      <c r="BB65">
        <v>856.87622526961695</v>
      </c>
    </row>
    <row r="66" spans="12:54" ht="15.75" x14ac:dyDescent="0.25">
      <c r="L66" s="182"/>
      <c r="M66" s="152" t="s">
        <v>385</v>
      </c>
      <c r="N66" s="153" t="s">
        <v>392</v>
      </c>
      <c r="O66" s="153" t="s">
        <v>393</v>
      </c>
      <c r="P66" s="153" t="s">
        <v>394</v>
      </c>
      <c r="Q66" s="151" t="s">
        <v>391</v>
      </c>
      <c r="Z66">
        <v>7</v>
      </c>
      <c r="AA66">
        <v>49.146341463414629</v>
      </c>
      <c r="AB66">
        <v>0.12527127639922225</v>
      </c>
      <c r="AC66">
        <v>0</v>
      </c>
      <c r="AD66">
        <v>2360.3296196520946</v>
      </c>
      <c r="AE66">
        <v>329.89490654555937</v>
      </c>
      <c r="AF66">
        <v>43.109985198889333</v>
      </c>
      <c r="AG66">
        <v>124.7305806912866</v>
      </c>
      <c r="AH66">
        <v>20.096448854918389</v>
      </c>
      <c r="AI66">
        <v>811.31473930742925</v>
      </c>
      <c r="AJ66">
        <v>49.146341463414629</v>
      </c>
      <c r="AK66">
        <v>0.20443991703012046</v>
      </c>
      <c r="AL66">
        <v>0</v>
      </c>
      <c r="AM66">
        <v>1756.8426979901687</v>
      </c>
      <c r="AN66">
        <v>424.03872650607934</v>
      </c>
      <c r="AO66">
        <v>46.639976435884336</v>
      </c>
      <c r="AP66">
        <v>124.63722541388648</v>
      </c>
      <c r="AQ66">
        <v>18.39243000095507</v>
      </c>
      <c r="AR66">
        <v>463.42997835868334</v>
      </c>
      <c r="AS66">
        <v>49.146341463414629</v>
      </c>
      <c r="AT66">
        <v>0.13323067715610484</v>
      </c>
      <c r="AU66">
        <v>0.13965647902921807</v>
      </c>
      <c r="AV66">
        <v>0</v>
      </c>
      <c r="AW66">
        <v>2470.7279463918221</v>
      </c>
      <c r="AX66">
        <v>385.77208441499647</v>
      </c>
      <c r="AY66">
        <v>45.241189797504752</v>
      </c>
      <c r="AZ66">
        <v>124.71116706512217</v>
      </c>
      <c r="BA66">
        <v>19.60991250970784</v>
      </c>
      <c r="BB66">
        <v>832.01605928877939</v>
      </c>
    </row>
    <row r="67" spans="12:54" ht="15.75" x14ac:dyDescent="0.25">
      <c r="L67" s="182"/>
      <c r="M67" s="152" t="s">
        <v>402</v>
      </c>
      <c r="N67" s="154">
        <v>3.2</v>
      </c>
      <c r="O67" s="154">
        <v>3.0307692304088034</v>
      </c>
      <c r="P67" s="155">
        <v>5.2884615497248988E-2</v>
      </c>
      <c r="Q67" s="179">
        <v>0.24538889880241133</v>
      </c>
      <c r="Z67">
        <v>8</v>
      </c>
      <c r="AA67">
        <v>57.170731707317067</v>
      </c>
      <c r="AB67">
        <v>0.12728495570351744</v>
      </c>
      <c r="AC67">
        <v>0</v>
      </c>
      <c r="AD67">
        <v>2316.0539401031961</v>
      </c>
      <c r="AE67">
        <v>331.54744377294435</v>
      </c>
      <c r="AF67">
        <v>44.929755953992753</v>
      </c>
      <c r="AG67">
        <v>124.78552185329089</v>
      </c>
      <c r="AH67">
        <v>20.63227180476736</v>
      </c>
      <c r="AI67">
        <v>788.38678339496539</v>
      </c>
      <c r="AJ67">
        <v>57.170731707317067</v>
      </c>
      <c r="AK67">
        <v>0.20924683830655638</v>
      </c>
      <c r="AL67">
        <v>0</v>
      </c>
      <c r="AM67">
        <v>1710.2610095468385</v>
      </c>
      <c r="AN67">
        <v>426.56634322888658</v>
      </c>
      <c r="AO67">
        <v>48.983873246980963</v>
      </c>
      <c r="AP67">
        <v>124.67623120655605</v>
      </c>
      <c r="AQ67">
        <v>18.691262175233142</v>
      </c>
      <c r="AR67">
        <v>436.88356474880061</v>
      </c>
      <c r="AS67">
        <v>57.170731707317067</v>
      </c>
      <c r="AT67">
        <v>0.13553769095946391</v>
      </c>
      <c r="AU67">
        <v>0.14196378648555422</v>
      </c>
      <c r="AV67">
        <v>0</v>
      </c>
      <c r="AW67">
        <v>2423.3138810731002</v>
      </c>
      <c r="AX67">
        <v>388.01793372518136</v>
      </c>
      <c r="AY67">
        <v>47.371700282724092</v>
      </c>
      <c r="AZ67">
        <v>124.7621280443</v>
      </c>
      <c r="BA67">
        <v>20.085127239562837</v>
      </c>
      <c r="BB67">
        <v>809.89132174308679</v>
      </c>
    </row>
    <row r="68" spans="12:54" ht="15.75" x14ac:dyDescent="0.25">
      <c r="L68" s="182"/>
      <c r="M68" s="152" t="s">
        <v>403</v>
      </c>
      <c r="N68" s="154">
        <v>2.16</v>
      </c>
      <c r="O68" s="154">
        <v>3.6276158571773847</v>
      </c>
      <c r="P68" s="155">
        <v>0.67945178573027065</v>
      </c>
      <c r="Q68" s="180"/>
      <c r="Z68">
        <v>9</v>
      </c>
      <c r="AA68">
        <v>65.195121951219505</v>
      </c>
      <c r="AB68">
        <v>0.12918339618872679</v>
      </c>
      <c r="AC68">
        <v>0</v>
      </c>
      <c r="AD68">
        <v>2276.7361424416708</v>
      </c>
      <c r="AE68">
        <v>333.02577818822482</v>
      </c>
      <c r="AF68">
        <v>46.756184195257873</v>
      </c>
      <c r="AG68">
        <v>124.83789423764642</v>
      </c>
      <c r="AH68">
        <v>21.158049323961027</v>
      </c>
      <c r="AI68">
        <v>767.81924403945311</v>
      </c>
      <c r="AJ68">
        <v>65.195121951219505</v>
      </c>
      <c r="AK68">
        <v>0.21376911534195916</v>
      </c>
      <c r="AL68">
        <v>0</v>
      </c>
      <c r="AM68">
        <v>1669.0107363843383</v>
      </c>
      <c r="AN68">
        <v>428.84013413311584</v>
      </c>
      <c r="AO68">
        <v>51.338504641136943</v>
      </c>
      <c r="AP68">
        <v>124.71260379634026</v>
      </c>
      <c r="AQ68">
        <v>18.980827545947378</v>
      </c>
      <c r="AR68">
        <v>413.18897071936846</v>
      </c>
      <c r="AS68">
        <v>65.195121951219505</v>
      </c>
      <c r="AT68">
        <v>0.13772490176708627</v>
      </c>
      <c r="AU68">
        <v>0.14415093944640789</v>
      </c>
      <c r="AV68">
        <v>0</v>
      </c>
      <c r="AW68">
        <v>2380.7929625784845</v>
      </c>
      <c r="AX68">
        <v>390.0499908036839</v>
      </c>
      <c r="AY68">
        <v>49.511609866638942</v>
      </c>
      <c r="AZ68">
        <v>124.81040411389787</v>
      </c>
      <c r="BA68">
        <v>20.550823455191612</v>
      </c>
      <c r="BB68">
        <v>789.81616572409382</v>
      </c>
    </row>
    <row r="69" spans="12:54" ht="15.75" x14ac:dyDescent="0.25">
      <c r="L69" s="182"/>
      <c r="M69" s="152" t="s">
        <v>404</v>
      </c>
      <c r="N69" s="154">
        <v>2.7</v>
      </c>
      <c r="O69" s="154">
        <v>4.1551215187356174</v>
      </c>
      <c r="P69" s="155">
        <v>0.53893389582800655</v>
      </c>
      <c r="Q69" s="180"/>
      <c r="Z69">
        <v>10</v>
      </c>
      <c r="AA69">
        <v>73.219512195121951</v>
      </c>
      <c r="AB69">
        <v>0.13097582050366008</v>
      </c>
      <c r="AC69">
        <v>0</v>
      </c>
      <c r="AD69">
        <v>2241.8126496433929</v>
      </c>
      <c r="AE69">
        <v>334.34711090514236</v>
      </c>
      <c r="AF69">
        <v>48.588600184808975</v>
      </c>
      <c r="AG69">
        <v>124.88795252828673</v>
      </c>
      <c r="AH69">
        <v>21.674769635826891</v>
      </c>
      <c r="AI69">
        <v>749.37992360003511</v>
      </c>
      <c r="AJ69">
        <v>73.219512195121951</v>
      </c>
      <c r="AK69">
        <v>0.21803983757881573</v>
      </c>
      <c r="AL69">
        <v>0</v>
      </c>
      <c r="AM69">
        <v>1632.2971426295735</v>
      </c>
      <c r="AN69">
        <v>430.89397676587618</v>
      </c>
      <c r="AO69">
        <v>53.702944505283632</v>
      </c>
      <c r="AP69">
        <v>124.74662713234349</v>
      </c>
      <c r="AQ69">
        <v>19.262005517542935</v>
      </c>
      <c r="AR69">
        <v>391.95792463876057</v>
      </c>
      <c r="AS69">
        <v>73.219512195121951</v>
      </c>
      <c r="AT69">
        <v>0.139801093993109</v>
      </c>
      <c r="AU69">
        <v>0.14622746880446968</v>
      </c>
      <c r="AV69">
        <v>0</v>
      </c>
      <c r="AW69">
        <v>2342.6397202694989</v>
      </c>
      <c r="AX69">
        <v>391.88786995596467</v>
      </c>
      <c r="AY69">
        <v>51.660086700163603</v>
      </c>
      <c r="AZ69">
        <v>124.8562703914161</v>
      </c>
      <c r="BA69">
        <v>21.007860372539007</v>
      </c>
      <c r="BB69">
        <v>771.60569627118116</v>
      </c>
    </row>
    <row r="70" spans="12:54" ht="15.75" x14ac:dyDescent="0.25">
      <c r="L70" s="182"/>
      <c r="M70" s="152" t="s">
        <v>395</v>
      </c>
      <c r="N70" s="154">
        <v>42.94</v>
      </c>
      <c r="O70" s="154">
        <v>44.517707801252207</v>
      </c>
      <c r="P70" s="155">
        <v>3.674214721127643E-2</v>
      </c>
      <c r="Q70" s="180"/>
      <c r="Z70">
        <v>11</v>
      </c>
      <c r="AA70">
        <v>81.243902439024382</v>
      </c>
      <c r="AB70">
        <v>0.13267019781507877</v>
      </c>
      <c r="AC70">
        <v>0</v>
      </c>
      <c r="AD70">
        <v>2210.7776350435438</v>
      </c>
      <c r="AE70">
        <v>335.52719860154258</v>
      </c>
      <c r="AF70">
        <v>50.42638539039951</v>
      </c>
      <c r="AG70">
        <v>124.93592773364016</v>
      </c>
      <c r="AH70">
        <v>22.183335532447789</v>
      </c>
      <c r="AI70">
        <v>732.85550781185088</v>
      </c>
      <c r="AJ70">
        <v>81.243902439024382</v>
      </c>
      <c r="AK70">
        <v>0.22208670164710681</v>
      </c>
      <c r="AL70">
        <v>0</v>
      </c>
      <c r="AM70">
        <v>1599.4480944246886</v>
      </c>
      <c r="AN70">
        <v>432.75699052689117</v>
      </c>
      <c r="AO70">
        <v>56.076359199426719</v>
      </c>
      <c r="AP70">
        <v>124.77855424168094</v>
      </c>
      <c r="AQ70">
        <v>19.535578733160467</v>
      </c>
      <c r="AR70">
        <v>372.8563655517205</v>
      </c>
      <c r="AS70">
        <v>81.243902439024382</v>
      </c>
      <c r="AT70">
        <v>0.14177391632271497</v>
      </c>
      <c r="AU70">
        <v>0.14820153265590161</v>
      </c>
      <c r="AV70">
        <v>0</v>
      </c>
      <c r="AW70">
        <v>2308.3772417816508</v>
      </c>
      <c r="AX70">
        <v>393.54979865916744</v>
      </c>
      <c r="AY70">
        <v>53.816358407592581</v>
      </c>
      <c r="AZ70">
        <v>124.89997512045385</v>
      </c>
      <c r="BA70">
        <v>21.457026700096556</v>
      </c>
      <c r="BB70">
        <v>755.08751220403144</v>
      </c>
    </row>
    <row r="71" spans="12:54" ht="15.75" x14ac:dyDescent="0.25">
      <c r="L71" s="182"/>
      <c r="M71" s="152" t="s">
        <v>397</v>
      </c>
      <c r="N71" s="156">
        <v>55.000000000000007</v>
      </c>
      <c r="O71" s="156">
        <v>55.647134751565254</v>
      </c>
      <c r="P71" s="155">
        <v>1.1766086392095419E-2</v>
      </c>
      <c r="Q71" s="180"/>
      <c r="Z71">
        <v>12</v>
      </c>
      <c r="AA71">
        <v>89.268292682926813</v>
      </c>
      <c r="AB71">
        <v>0.13426351191822311</v>
      </c>
      <c r="AC71">
        <v>0</v>
      </c>
      <c r="AD71">
        <v>2183.5295400481705</v>
      </c>
      <c r="AE71">
        <v>336.56723593154726</v>
      </c>
      <c r="AF71">
        <v>52.269455776440068</v>
      </c>
      <c r="AG71">
        <v>124.981834975769</v>
      </c>
      <c r="AH71">
        <v>22.683815710540379</v>
      </c>
      <c r="AI71">
        <v>718.22924290387982</v>
      </c>
      <c r="AJ71">
        <v>89.268292682926813</v>
      </c>
      <c r="AK71">
        <v>0.22591184089736702</v>
      </c>
      <c r="AL71">
        <v>0</v>
      </c>
      <c r="AM71">
        <v>1570.2236155727949</v>
      </c>
      <c r="AN71">
        <v>434.4374271160795</v>
      </c>
      <c r="AO71">
        <v>58.458877293396363</v>
      </c>
      <c r="AP71">
        <v>124.80841712343258</v>
      </c>
      <c r="AQ71">
        <v>19.801512041459986</v>
      </c>
      <c r="AR71">
        <v>355.78212258528754</v>
      </c>
      <c r="AS71">
        <v>89.268292682926813</v>
      </c>
      <c r="AT71">
        <v>0.1436394465810274</v>
      </c>
      <c r="AU71">
        <v>0.15006970624275565</v>
      </c>
      <c r="AV71">
        <v>0</v>
      </c>
      <c r="AW71">
        <v>2277.9298956632256</v>
      </c>
      <c r="AX71">
        <v>395.03598346891454</v>
      </c>
      <c r="AY71">
        <v>55.980445594711021</v>
      </c>
      <c r="AZ71">
        <v>124.94154165147611</v>
      </c>
      <c r="BA71">
        <v>21.89829788943586</v>
      </c>
      <c r="BB71">
        <v>740.26215495751671</v>
      </c>
    </row>
    <row r="72" spans="12:54" ht="16.5" thickBot="1" x14ac:dyDescent="0.3">
      <c r="L72" s="182"/>
      <c r="M72" s="152" t="s">
        <v>396</v>
      </c>
      <c r="N72" s="154">
        <v>82.09</v>
      </c>
      <c r="O72" s="154">
        <v>94.613228634350747</v>
      </c>
      <c r="P72" s="155">
        <v>0.15255486215557001</v>
      </c>
      <c r="Q72" s="181"/>
      <c r="Z72">
        <v>13</v>
      </c>
      <c r="AA72">
        <v>97.292682926829258</v>
      </c>
      <c r="AB72">
        <v>0.13575805745197458</v>
      </c>
      <c r="AC72">
        <v>0</v>
      </c>
      <c r="AD72">
        <v>2159.7200494440835</v>
      </c>
      <c r="AE72">
        <v>337.47762846042355</v>
      </c>
      <c r="AF72">
        <v>54.117356710357342</v>
      </c>
      <c r="AG72">
        <v>125.02582000743945</v>
      </c>
      <c r="AH72">
        <v>23.17680630325734</v>
      </c>
      <c r="AI72">
        <v>705.35862946270242</v>
      </c>
      <c r="AJ72">
        <v>97.292682926829258</v>
      </c>
      <c r="AK72">
        <v>0.2295288890937526</v>
      </c>
      <c r="AL72">
        <v>0</v>
      </c>
      <c r="AM72">
        <v>1544.1803486968324</v>
      </c>
      <c r="AN72">
        <v>435.95411188565043</v>
      </c>
      <c r="AO72">
        <v>60.850107734710001</v>
      </c>
      <c r="AP72">
        <v>124.83637333398777</v>
      </c>
      <c r="AQ72">
        <v>20.060206937262951</v>
      </c>
      <c r="AR72">
        <v>340.5140211357749</v>
      </c>
      <c r="AS72">
        <v>97.292682926829258</v>
      </c>
      <c r="AT72">
        <v>0.14539927661780969</v>
      </c>
      <c r="AU72">
        <v>0.1518339292831844</v>
      </c>
      <c r="AV72">
        <v>0</v>
      </c>
      <c r="AW72">
        <v>2250.9825822566336</v>
      </c>
      <c r="AX72">
        <v>396.35765783537931</v>
      </c>
      <c r="AY72">
        <v>58.151852317146535</v>
      </c>
      <c r="AZ72">
        <v>124.98112733254209</v>
      </c>
      <c r="BA72">
        <v>22.332149715453433</v>
      </c>
      <c r="BB72">
        <v>727.02346258369414</v>
      </c>
    </row>
    <row r="73" spans="12:54" ht="16.5" thickBot="1" x14ac:dyDescent="0.3">
      <c r="L73" s="182"/>
      <c r="M73" s="166" t="s">
        <v>385</v>
      </c>
      <c r="N73" s="167" t="s">
        <v>406</v>
      </c>
      <c r="O73" s="157"/>
      <c r="P73" s="158"/>
      <c r="Z73">
        <v>14</v>
      </c>
      <c r="AA73">
        <v>105.3170731707317</v>
      </c>
      <c r="AB73">
        <v>0.13717692520867641</v>
      </c>
      <c r="AC73">
        <v>0</v>
      </c>
      <c r="AD73">
        <v>2138.3768443449526</v>
      </c>
      <c r="AE73">
        <v>338.29368653994067</v>
      </c>
      <c r="AF73">
        <v>55.968729280585087</v>
      </c>
      <c r="AG73">
        <v>125.06839552363532</v>
      </c>
      <c r="AH73">
        <v>23.664329801316242</v>
      </c>
      <c r="AI73">
        <v>693.76433789241719</v>
      </c>
      <c r="AJ73">
        <v>105.3170731707317</v>
      </c>
      <c r="AK73">
        <v>0.23299094509893722</v>
      </c>
      <c r="AL73">
        <v>0</v>
      </c>
      <c r="AM73">
        <v>1520.3758900970297</v>
      </c>
      <c r="AN73">
        <v>437.35360077559108</v>
      </c>
      <c r="AO73">
        <v>63.247901725537432</v>
      </c>
      <c r="AP73">
        <v>124.86293526127999</v>
      </c>
      <c r="AQ73">
        <v>20.31348915259256</v>
      </c>
      <c r="AR73">
        <v>326.53059115317245</v>
      </c>
      <c r="AS73">
        <v>105.3170731707317</v>
      </c>
      <c r="AT73">
        <v>0.14707753373462767</v>
      </c>
      <c r="AU73">
        <v>0.15351809588490473</v>
      </c>
      <c r="AV73">
        <v>0</v>
      </c>
      <c r="AW73">
        <v>2226.5740170881018</v>
      </c>
      <c r="AX73">
        <v>397.55814719392555</v>
      </c>
      <c r="AY73">
        <v>60.328639230014367</v>
      </c>
      <c r="AZ73">
        <v>125.01926375465433</v>
      </c>
      <c r="BA73">
        <v>22.760518347022114</v>
      </c>
      <c r="BB73">
        <v>714.95446715780804</v>
      </c>
    </row>
    <row r="74" spans="12:54" ht="15.75" x14ac:dyDescent="0.25">
      <c r="L74" s="182"/>
      <c r="M74" s="164" t="s">
        <v>405</v>
      </c>
      <c r="N74" s="165">
        <v>9.2063259061311769</v>
      </c>
      <c r="O74" s="157"/>
      <c r="P74" s="157"/>
      <c r="Z74">
        <v>15</v>
      </c>
      <c r="AA74">
        <v>113.34146341463413</v>
      </c>
      <c r="AB74">
        <v>0.13852445884447454</v>
      </c>
      <c r="AC74">
        <v>0</v>
      </c>
      <c r="AD74">
        <v>2119.2409925646689</v>
      </c>
      <c r="AE74">
        <v>339.0244996019905</v>
      </c>
      <c r="AF74">
        <v>57.823211941784976</v>
      </c>
      <c r="AG74">
        <v>125.10968490201381</v>
      </c>
      <c r="AH74">
        <v>24.146884833036836</v>
      </c>
      <c r="AI74">
        <v>683.32262074656217</v>
      </c>
      <c r="AJ74">
        <v>113.34146341463413</v>
      </c>
      <c r="AK74">
        <v>0.23630945046537277</v>
      </c>
      <c r="AL74">
        <v>0</v>
      </c>
      <c r="AM74">
        <v>1498.5595928762473</v>
      </c>
      <c r="AN74">
        <v>438.64777291163142</v>
      </c>
      <c r="AO74">
        <v>65.651813345648023</v>
      </c>
      <c r="AP74">
        <v>124.88822587373771</v>
      </c>
      <c r="AQ74">
        <v>20.561751531342345</v>
      </c>
      <c r="AR74">
        <v>313.69599755801414</v>
      </c>
      <c r="AS74">
        <v>113.34146341463413</v>
      </c>
      <c r="AT74">
        <v>0.14867844399111579</v>
      </c>
      <c r="AU74">
        <v>0.15512644279135504</v>
      </c>
      <c r="AV74">
        <v>0</v>
      </c>
      <c r="AW74">
        <v>2204.46171680314</v>
      </c>
      <c r="AX74">
        <v>398.64785638909541</v>
      </c>
      <c r="AY74">
        <v>62.510332132097957</v>
      </c>
      <c r="AZ74">
        <v>125.05607967844648</v>
      </c>
      <c r="BA74">
        <v>23.183858834892021</v>
      </c>
      <c r="BB74">
        <v>703.95521007784419</v>
      </c>
    </row>
    <row r="75" spans="12:54" ht="15.75" x14ac:dyDescent="0.25">
      <c r="L75" s="182"/>
      <c r="M75" s="159" t="s">
        <v>399</v>
      </c>
      <c r="N75" s="160">
        <v>17.87717141092925</v>
      </c>
      <c r="O75" s="157"/>
      <c r="P75" s="157"/>
      <c r="Z75">
        <v>16</v>
      </c>
      <c r="AA75">
        <v>121.36585365853657</v>
      </c>
      <c r="AB75">
        <v>0.13980477474073552</v>
      </c>
      <c r="AC75">
        <v>0</v>
      </c>
      <c r="AD75">
        <v>2102.0730402333184</v>
      </c>
      <c r="AE75">
        <v>339.67860973270848</v>
      </c>
      <c r="AF75">
        <v>59.680471308550352</v>
      </c>
      <c r="AG75">
        <v>125.14980136817857</v>
      </c>
      <c r="AH75">
        <v>24.624928763093642</v>
      </c>
      <c r="AI75">
        <v>673.91732047724565</v>
      </c>
      <c r="AJ75">
        <v>121.36585365853657</v>
      </c>
      <c r="AK75">
        <v>0.23949477708463524</v>
      </c>
      <c r="AL75">
        <v>0</v>
      </c>
      <c r="AM75">
        <v>1478.5096902556272</v>
      </c>
      <c r="AN75">
        <v>439.84725030927177</v>
      </c>
      <c r="AO75">
        <v>68.061430553302102</v>
      </c>
      <c r="AP75">
        <v>124.91235705168879</v>
      </c>
      <c r="AQ75">
        <v>20.805354379065101</v>
      </c>
      <c r="AR75">
        <v>301.88896317324253</v>
      </c>
      <c r="AS75">
        <v>121.36585365853657</v>
      </c>
      <c r="AT75">
        <v>0.15020599816995739</v>
      </c>
      <c r="AU75">
        <v>0.15666295346952838</v>
      </c>
      <c r="AV75">
        <v>0</v>
      </c>
      <c r="AW75">
        <v>2184.4228405698468</v>
      </c>
      <c r="AX75">
        <v>399.63648982890891</v>
      </c>
      <c r="AY75">
        <v>64.696488605039761</v>
      </c>
      <c r="AZ75">
        <v>125.09169303034999</v>
      </c>
      <c r="BA75">
        <v>23.602592901042005</v>
      </c>
      <c r="BB75">
        <v>693.93236327694615</v>
      </c>
    </row>
    <row r="76" spans="12:54" ht="15.75" x14ac:dyDescent="0.25">
      <c r="L76" s="182"/>
      <c r="M76" s="159" t="s">
        <v>400</v>
      </c>
      <c r="N76" s="161">
        <v>0.18115967779207118</v>
      </c>
      <c r="O76" s="157"/>
      <c r="P76" s="157"/>
      <c r="Z76">
        <v>17</v>
      </c>
      <c r="AA76">
        <v>129.39024390243901</v>
      </c>
      <c r="AB76">
        <v>0.14101597792958612</v>
      </c>
      <c r="AC76">
        <v>0</v>
      </c>
      <c r="AD76">
        <v>2086.7970628801813</v>
      </c>
      <c r="AE76">
        <v>340.25828299062613</v>
      </c>
      <c r="AF76">
        <v>61.540409483265009</v>
      </c>
      <c r="AG76">
        <v>125.18875451865567</v>
      </c>
      <c r="AH76">
        <v>25.098521767504771</v>
      </c>
      <c r="AI76">
        <v>665.51723142670653</v>
      </c>
      <c r="AJ76">
        <v>129.39024390243901</v>
      </c>
      <c r="AK76">
        <v>0.24254506629701583</v>
      </c>
      <c r="AL76">
        <v>0</v>
      </c>
      <c r="AM76">
        <v>1460.1654771966871</v>
      </c>
      <c r="AN76">
        <v>440.95408890899807</v>
      </c>
      <c r="AO76">
        <v>70.476858079860207</v>
      </c>
      <c r="AP76">
        <v>124.93533691052106</v>
      </c>
      <c r="AQ76">
        <v>21.044235299495753</v>
      </c>
      <c r="AR76">
        <v>291.08092073952855</v>
      </c>
      <c r="AS76">
        <v>129.39024390243901</v>
      </c>
      <c r="AT76">
        <v>0.15165750672636602</v>
      </c>
      <c r="AU76">
        <v>0.15812505876056104</v>
      </c>
      <c r="AV76">
        <v>0</v>
      </c>
      <c r="AW76">
        <v>2166.4135556739516</v>
      </c>
      <c r="AX76">
        <v>400.52509131908181</v>
      </c>
      <c r="AY76">
        <v>66.887048178696006</v>
      </c>
      <c r="AZ76">
        <v>125.12611544082422</v>
      </c>
      <c r="BA76">
        <v>24.016738561893238</v>
      </c>
      <c r="BB76">
        <v>684.8762037082281</v>
      </c>
    </row>
    <row r="77" spans="12:54" ht="16.5" thickBot="1" x14ac:dyDescent="0.3">
      <c r="L77" s="182"/>
      <c r="M77" s="162" t="s">
        <v>401</v>
      </c>
      <c r="N77" s="163">
        <v>0.1429147947266525</v>
      </c>
      <c r="Q77" t="s">
        <v>398</v>
      </c>
      <c r="Z77">
        <v>18</v>
      </c>
      <c r="AA77">
        <v>137.41463414634146</v>
      </c>
      <c r="AB77">
        <v>0.14215670900147367</v>
      </c>
      <c r="AC77">
        <v>0</v>
      </c>
      <c r="AD77">
        <v>2073.2813434586133</v>
      </c>
      <c r="AE77">
        <v>340.76807488453676</v>
      </c>
      <c r="AF77">
        <v>63.40287367208029</v>
      </c>
      <c r="AG77">
        <v>125.22656812974802</v>
      </c>
      <c r="AH77">
        <v>25.567777449469236</v>
      </c>
      <c r="AI77">
        <v>658.0606997767145</v>
      </c>
      <c r="AJ77">
        <v>137.41463414634146</v>
      </c>
      <c r="AK77">
        <v>0.24545903215402345</v>
      </c>
      <c r="AL77">
        <v>0</v>
      </c>
      <c r="AM77">
        <v>1443.4451051631227</v>
      </c>
      <c r="AN77">
        <v>441.97140867288198</v>
      </c>
      <c r="AO77">
        <v>72.898169225083493</v>
      </c>
      <c r="AP77">
        <v>124.95718572565309</v>
      </c>
      <c r="AQ77">
        <v>21.27835935686921</v>
      </c>
      <c r="AR77">
        <v>281.2305583975226</v>
      </c>
      <c r="AS77">
        <v>137.41463414634146</v>
      </c>
      <c r="AT77">
        <v>0.15303052222276664</v>
      </c>
      <c r="AU77">
        <v>0.15951041921900316</v>
      </c>
      <c r="AV77">
        <v>0</v>
      </c>
      <c r="AW77">
        <v>2150.3501784089322</v>
      </c>
      <c r="AX77">
        <v>401.31664606009195</v>
      </c>
      <c r="AY77">
        <v>69.081871814477466</v>
      </c>
      <c r="AZ77">
        <v>125.15937363466496</v>
      </c>
      <c r="BA77">
        <v>24.426372494795928</v>
      </c>
      <c r="BB77">
        <v>676.75830157323969</v>
      </c>
    </row>
    <row r="78" spans="12:54" x14ac:dyDescent="0.25">
      <c r="L78" s="183">
        <v>1</v>
      </c>
      <c r="N78" t="s">
        <v>392</v>
      </c>
      <c r="O78" t="s">
        <v>393</v>
      </c>
      <c r="P78" t="s">
        <v>394</v>
      </c>
      <c r="Z78">
        <v>19</v>
      </c>
      <c r="AA78">
        <v>145.4390243902439</v>
      </c>
      <c r="AB78">
        <v>0.14324441228166426</v>
      </c>
      <c r="AC78">
        <v>0</v>
      </c>
      <c r="AD78">
        <v>2060.9747232669988</v>
      </c>
      <c r="AE78">
        <v>341.22961083426969</v>
      </c>
      <c r="AF78">
        <v>65.267121554321776</v>
      </c>
      <c r="AG78">
        <v>125.26354910808115</v>
      </c>
      <c r="AH78">
        <v>26.033869169560418</v>
      </c>
      <c r="AI78">
        <v>651.25621862491926</v>
      </c>
      <c r="AJ78">
        <v>145.4390243902439</v>
      </c>
      <c r="AK78">
        <v>0.24827060001739459</v>
      </c>
      <c r="AL78">
        <v>0</v>
      </c>
      <c r="AM78">
        <v>1427.8852560222285</v>
      </c>
      <c r="AN78">
        <v>442.92396863531098</v>
      </c>
      <c r="AO78">
        <v>75.32390453075574</v>
      </c>
      <c r="AP78">
        <v>124.97820556490855</v>
      </c>
      <c r="AQ78">
        <v>21.50892005611027</v>
      </c>
      <c r="AR78">
        <v>272.06806259607907</v>
      </c>
      <c r="AS78">
        <v>145.4390243902439</v>
      </c>
      <c r="AT78">
        <v>0.15434370720147345</v>
      </c>
      <c r="AU78">
        <v>0.16083730337984664</v>
      </c>
      <c r="AV78">
        <v>0</v>
      </c>
      <c r="AW78">
        <v>2135.6725080090987</v>
      </c>
      <c r="AX78">
        <v>402.03848623081171</v>
      </c>
      <c r="AY78">
        <v>71.279768029641033</v>
      </c>
      <c r="AZ78">
        <v>125.19178316329632</v>
      </c>
      <c r="BA78">
        <v>24.832702463721002</v>
      </c>
      <c r="BB78">
        <v>669.31474224432429</v>
      </c>
    </row>
    <row r="79" spans="12:54" x14ac:dyDescent="0.25">
      <c r="L79" s="183"/>
      <c r="M79" t="s">
        <v>366</v>
      </c>
      <c r="N79" s="148">
        <v>32</v>
      </c>
      <c r="O79" s="148">
        <v>30.307692304088032</v>
      </c>
      <c r="P79" s="147">
        <v>5.2884615497248988E-2</v>
      </c>
      <c r="Z79">
        <v>20</v>
      </c>
      <c r="AA79">
        <v>153.46341463414632</v>
      </c>
      <c r="AB79">
        <v>0.14428228394440798</v>
      </c>
      <c r="AC79">
        <v>0</v>
      </c>
      <c r="AD79">
        <v>2049.7208736848602</v>
      </c>
      <c r="AE79">
        <v>341.64904921930469</v>
      </c>
      <c r="AF79">
        <v>67.132980166596013</v>
      </c>
      <c r="AG79">
        <v>125.29976065932208</v>
      </c>
      <c r="AH79">
        <v>26.497031272787911</v>
      </c>
      <c r="AI79">
        <v>645.02136699318555</v>
      </c>
      <c r="AJ79">
        <v>153.46341463414632</v>
      </c>
      <c r="AK79">
        <v>0.25098560888201105</v>
      </c>
      <c r="AL79">
        <v>0</v>
      </c>
      <c r="AM79">
        <v>1413.3816434346495</v>
      </c>
      <c r="AN79">
        <v>443.81709047738696</v>
      </c>
      <c r="AO79">
        <v>77.753811664850446</v>
      </c>
      <c r="AP79">
        <v>124.99845775968784</v>
      </c>
      <c r="AQ79">
        <v>21.736128561065186</v>
      </c>
      <c r="AR79">
        <v>263.53356414835497</v>
      </c>
      <c r="AS79">
        <v>153.46341463414632</v>
      </c>
      <c r="AT79">
        <v>0.15560003863490091</v>
      </c>
      <c r="AU79">
        <v>0.16210862801443751</v>
      </c>
      <c r="AV79">
        <v>0</v>
      </c>
      <c r="AW79">
        <v>2122.2439889798993</v>
      </c>
      <c r="AX79">
        <v>402.69714502428468</v>
      </c>
      <c r="AY79">
        <v>73.480469143894325</v>
      </c>
      <c r="AZ79">
        <v>125.22341029578872</v>
      </c>
      <c r="BA79">
        <v>25.235975602270425</v>
      </c>
      <c r="BB79">
        <v>662.48264589284224</v>
      </c>
    </row>
    <row r="80" spans="12:54" x14ac:dyDescent="0.25">
      <c r="L80" s="183"/>
      <c r="M80" t="s">
        <v>367</v>
      </c>
      <c r="N80" s="148">
        <v>21.6</v>
      </c>
      <c r="O80" s="148">
        <v>47.99640557931621</v>
      </c>
      <c r="P80" s="147">
        <v>1.2220558138572317</v>
      </c>
      <c r="Z80">
        <v>21</v>
      </c>
      <c r="AA80">
        <v>161.48780487804876</v>
      </c>
      <c r="AB80">
        <v>0.14527344576975387</v>
      </c>
      <c r="AC80">
        <v>0</v>
      </c>
      <c r="AD80">
        <v>2039.3704635648342</v>
      </c>
      <c r="AE80">
        <v>342.03234348831842</v>
      </c>
      <c r="AF80">
        <v>69.000296545123817</v>
      </c>
      <c r="AG80">
        <v>125.33526083755456</v>
      </c>
      <c r="AH80">
        <v>26.957471836126867</v>
      </c>
      <c r="AI80">
        <v>639.27670334169534</v>
      </c>
      <c r="AJ80">
        <v>161.48780487804876</v>
      </c>
      <c r="AK80">
        <v>0.25360949757139112</v>
      </c>
      <c r="AL80">
        <v>0</v>
      </c>
      <c r="AM80">
        <v>1399.8395530268886</v>
      </c>
      <c r="AN80">
        <v>444.65564453118611</v>
      </c>
      <c r="AO80">
        <v>80.187653864879522</v>
      </c>
      <c r="AP80">
        <v>125.0179989597454</v>
      </c>
      <c r="AQ80">
        <v>21.960181966097458</v>
      </c>
      <c r="AR80">
        <v>255.57241132503441</v>
      </c>
      <c r="AS80">
        <v>161.48780487804876</v>
      </c>
      <c r="AT80">
        <v>0.15680240434543874</v>
      </c>
      <c r="AU80">
        <v>0.16332721764026298</v>
      </c>
      <c r="AV80">
        <v>0</v>
      </c>
      <c r="AW80">
        <v>2109.9356112324749</v>
      </c>
      <c r="AX80">
        <v>403.29886893590026</v>
      </c>
      <c r="AY80">
        <v>75.683728250573424</v>
      </c>
      <c r="AZ80">
        <v>125.25431621954608</v>
      </c>
      <c r="BA80">
        <v>25.636419400749407</v>
      </c>
      <c r="BB80">
        <v>656.20193591458451</v>
      </c>
    </row>
    <row r="81" spans="12:54" x14ac:dyDescent="0.25">
      <c r="L81" s="183"/>
      <c r="M81" t="s">
        <v>368</v>
      </c>
      <c r="N81" s="148">
        <v>27</v>
      </c>
      <c r="O81" s="148">
        <v>53.248449960151468</v>
      </c>
      <c r="P81" s="147">
        <v>0.97216481333894322</v>
      </c>
      <c r="Z81">
        <v>22</v>
      </c>
      <c r="AA81">
        <v>169.51219512195121</v>
      </c>
      <c r="AB81">
        <v>0.14621780592744246</v>
      </c>
      <c r="AC81">
        <v>0</v>
      </c>
      <c r="AD81">
        <v>2029.8253326044533</v>
      </c>
      <c r="AE81">
        <v>342.38349860788009</v>
      </c>
      <c r="AF81">
        <v>70.86903244597876</v>
      </c>
      <c r="AG81">
        <v>125.37005518140977</v>
      </c>
      <c r="AH81">
        <v>27.415184968999643</v>
      </c>
      <c r="AI81">
        <v>633.96977803648679</v>
      </c>
      <c r="AJ81">
        <v>169.51219512195121</v>
      </c>
      <c r="AK81">
        <v>0.25614093927493936</v>
      </c>
      <c r="AL81">
        <v>0</v>
      </c>
      <c r="AM81">
        <v>1387.2351315078927</v>
      </c>
      <c r="AN81">
        <v>445.44049680648016</v>
      </c>
      <c r="AO81">
        <v>82.62548399028104</v>
      </c>
      <c r="AP81">
        <v>125.03683380928389</v>
      </c>
      <c r="AQ81">
        <v>22.181044517378062</v>
      </c>
      <c r="AR81">
        <v>248.17195068768484</v>
      </c>
      <c r="AS81">
        <v>169.51219512195121</v>
      </c>
      <c r="AT81">
        <v>0.15794982247404601</v>
      </c>
      <c r="AU81">
        <v>0.16449210885501597</v>
      </c>
      <c r="AV81">
        <v>0</v>
      </c>
      <c r="AW81">
        <v>2098.6920866188084</v>
      </c>
      <c r="AX81">
        <v>403.84622496064009</v>
      </c>
      <c r="AY81">
        <v>77.889483086516179</v>
      </c>
      <c r="AZ81">
        <v>125.28450962084064</v>
      </c>
      <c r="BA81">
        <v>26.034052593116698</v>
      </c>
      <c r="BB81">
        <v>650.44830504821994</v>
      </c>
    </row>
    <row r="82" spans="12:54" x14ac:dyDescent="0.25">
      <c r="L82" s="183"/>
      <c r="M82" t="s">
        <v>243</v>
      </c>
      <c r="N82" s="148">
        <v>42.94</v>
      </c>
      <c r="O82" s="148">
        <v>30.424904230102072</v>
      </c>
      <c r="P82" s="147">
        <v>0.29145542081737136</v>
      </c>
      <c r="Z82">
        <v>23</v>
      </c>
      <c r="AA82">
        <v>177.53658536585363</v>
      </c>
      <c r="AB82">
        <v>0.14711363014132975</v>
      </c>
      <c r="AC82">
        <v>0</v>
      </c>
      <c r="AD82">
        <v>2020.9658246983081</v>
      </c>
      <c r="AE82">
        <v>342.70762773644907</v>
      </c>
      <c r="AF82">
        <v>72.739233775806937</v>
      </c>
      <c r="AG82">
        <v>125.40411650575314</v>
      </c>
      <c r="AH82">
        <v>27.869994487658609</v>
      </c>
      <c r="AI82">
        <v>629.03504301896669</v>
      </c>
      <c r="AJ82">
        <v>177.53658536585363</v>
      </c>
      <c r="AK82">
        <v>0.25857388538932524</v>
      </c>
      <c r="AL82">
        <v>0</v>
      </c>
      <c r="AM82">
        <v>1375.5820333759566</v>
      </c>
      <c r="AN82">
        <v>446.17026811848621</v>
      </c>
      <c r="AO82">
        <v>85.067552684221383</v>
      </c>
      <c r="AP82">
        <v>125.05493593471134</v>
      </c>
      <c r="AQ82">
        <v>22.398522485548746</v>
      </c>
      <c r="AR82">
        <v>241.34193629375258</v>
      </c>
      <c r="AS82">
        <v>177.53658536585363</v>
      </c>
      <c r="AT82">
        <v>0.15903879786038846</v>
      </c>
      <c r="AU82">
        <v>0.16559986597377091</v>
      </c>
      <c r="AV82">
        <v>0</v>
      </c>
      <c r="AW82">
        <v>2088.4739660474288</v>
      </c>
      <c r="AX82">
        <v>404.34105852801554</v>
      </c>
      <c r="AY82">
        <v>80.097772491810844</v>
      </c>
      <c r="AZ82">
        <v>125.31396896011412</v>
      </c>
      <c r="BA82">
        <v>26.428760567706167</v>
      </c>
      <c r="BB82">
        <v>645.20496469992781</v>
      </c>
    </row>
    <row r="83" spans="12:54" x14ac:dyDescent="0.25">
      <c r="L83" s="183"/>
      <c r="M83" t="s">
        <v>247</v>
      </c>
      <c r="N83" s="148">
        <v>0.55000000000000004</v>
      </c>
      <c r="O83" s="148">
        <v>0.3803113028762759</v>
      </c>
      <c r="P83" s="147">
        <v>0.30852490386131659</v>
      </c>
      <c r="Q83" t="s">
        <v>263</v>
      </c>
      <c r="Z83">
        <v>24</v>
      </c>
      <c r="AA83">
        <v>185.56097560975607</v>
      </c>
      <c r="AB83">
        <v>0.14797438956019435</v>
      </c>
      <c r="AC83">
        <v>0</v>
      </c>
      <c r="AD83">
        <v>2012.4886494685154</v>
      </c>
      <c r="AE83">
        <v>343.01713222887628</v>
      </c>
      <c r="AF83">
        <v>74.610532134395555</v>
      </c>
      <c r="AG83">
        <v>125.43763915513085</v>
      </c>
      <c r="AH83">
        <v>28.322592290602969</v>
      </c>
      <c r="AI83">
        <v>624.30623250486542</v>
      </c>
      <c r="AJ83">
        <v>185.56097560975607</v>
      </c>
      <c r="AK83">
        <v>0.26093306652112641</v>
      </c>
      <c r="AL83">
        <v>0</v>
      </c>
      <c r="AM83">
        <v>1364.6116235994518</v>
      </c>
      <c r="AN83">
        <v>446.86014559364804</v>
      </c>
      <c r="AO83">
        <v>87.512786330446772</v>
      </c>
      <c r="AP83">
        <v>125.07250221296052</v>
      </c>
      <c r="AQ83">
        <v>22.61347635850402</v>
      </c>
      <c r="AR83">
        <v>234.92206241753311</v>
      </c>
      <c r="AS83">
        <v>185.56097560975607</v>
      </c>
      <c r="AT83">
        <v>0.1600843459411313</v>
      </c>
      <c r="AU83">
        <v>0.16666514380547445</v>
      </c>
      <c r="AV83">
        <v>0</v>
      </c>
      <c r="AW83">
        <v>2078.9416468049735</v>
      </c>
      <c r="AX83">
        <v>404.8007649164112</v>
      </c>
      <c r="AY83">
        <v>82.307889899232805</v>
      </c>
      <c r="AZ83">
        <v>125.34289433908624</v>
      </c>
      <c r="BA83">
        <v>26.821311307456678</v>
      </c>
      <c r="BB83">
        <v>640.30399430582008</v>
      </c>
    </row>
    <row r="84" spans="12:54" x14ac:dyDescent="0.25">
      <c r="L84" s="183"/>
      <c r="M84" t="s">
        <v>389</v>
      </c>
      <c r="N84" s="148">
        <v>82.09</v>
      </c>
      <c r="O84" s="148">
        <v>63.708541450322144</v>
      </c>
      <c r="P84" s="147">
        <v>0.22391836459590519</v>
      </c>
      <c r="Z84">
        <v>25</v>
      </c>
      <c r="AA84">
        <v>193.58536585365852</v>
      </c>
      <c r="AB84">
        <v>0.14880287362174205</v>
      </c>
      <c r="AC84">
        <v>0</v>
      </c>
      <c r="AD84">
        <v>2004.2769295512269</v>
      </c>
      <c r="AE84">
        <v>343.31700385625584</v>
      </c>
      <c r="AF84">
        <v>76.482898858916812</v>
      </c>
      <c r="AG84">
        <v>125.47065378711659</v>
      </c>
      <c r="AH84">
        <v>28.773029292979849</v>
      </c>
      <c r="AI84">
        <v>619.71814150166824</v>
      </c>
      <c r="AJ84">
        <v>193.58536585365852</v>
      </c>
      <c r="AK84">
        <v>0.26322198152891207</v>
      </c>
      <c r="AL84">
        <v>0</v>
      </c>
      <c r="AM84">
        <v>1354.2724948190282</v>
      </c>
      <c r="AN84">
        <v>447.51290170766208</v>
      </c>
      <c r="AO84">
        <v>89.9610271483226</v>
      </c>
      <c r="AP84">
        <v>125.08956655140193</v>
      </c>
      <c r="AQ84">
        <v>22.826033346695162</v>
      </c>
      <c r="AR84">
        <v>228.88183157668831</v>
      </c>
      <c r="AS84">
        <v>193.58536585365852</v>
      </c>
      <c r="AT84">
        <v>0.16108893773777463</v>
      </c>
      <c r="AU84">
        <v>0.1676903354053654</v>
      </c>
      <c r="AV84">
        <v>0</v>
      </c>
      <c r="AW84">
        <v>2070.0010456443592</v>
      </c>
      <c r="AX84">
        <v>405.23024018885235</v>
      </c>
      <c r="AY84">
        <v>84.51971283623719</v>
      </c>
      <c r="AZ84">
        <v>125.37132096100027</v>
      </c>
      <c r="BA84">
        <v>27.211819099330175</v>
      </c>
      <c r="BB84">
        <v>635.69870235252029</v>
      </c>
    </row>
    <row r="85" spans="12:54" x14ac:dyDescent="0.25">
      <c r="L85" s="183"/>
      <c r="M85" t="s">
        <v>385</v>
      </c>
      <c r="N85" s="148" t="s">
        <v>392</v>
      </c>
      <c r="O85" s="148" t="s">
        <v>393</v>
      </c>
      <c r="P85" s="148" t="s">
        <v>394</v>
      </c>
      <c r="Q85" t="s">
        <v>391</v>
      </c>
      <c r="Z85">
        <v>26</v>
      </c>
      <c r="AA85">
        <v>201.60975609756096</v>
      </c>
      <c r="AB85">
        <v>0.14960184127624096</v>
      </c>
      <c r="AC85">
        <v>0</v>
      </c>
      <c r="AD85">
        <v>1996.2170588758524</v>
      </c>
      <c r="AE85">
        <v>343.61213552001726</v>
      </c>
      <c r="AF85">
        <v>78.356321939278089</v>
      </c>
      <c r="AG85">
        <v>125.50318799908378</v>
      </c>
      <c r="AH85">
        <v>29.221336185103596</v>
      </c>
      <c r="AI85">
        <v>615.20705327832718</v>
      </c>
      <c r="AJ85">
        <v>201.60975609756096</v>
      </c>
      <c r="AK85">
        <v>0.26544393579930753</v>
      </c>
      <c r="AL85">
        <v>0</v>
      </c>
      <c r="AM85">
        <v>1344.5171626524466</v>
      </c>
      <c r="AN85">
        <v>448.13111237806112</v>
      </c>
      <c r="AO85">
        <v>92.412125604690885</v>
      </c>
      <c r="AP85">
        <v>125.10616061952206</v>
      </c>
      <c r="AQ85">
        <v>23.036313545030829</v>
      </c>
      <c r="AR85">
        <v>223.19299373690049</v>
      </c>
      <c r="AS85">
        <v>201.60975609756096</v>
      </c>
      <c r="AT85">
        <v>0.16205500558582864</v>
      </c>
      <c r="AU85">
        <v>0.16867779343781525</v>
      </c>
      <c r="AV85">
        <v>0</v>
      </c>
      <c r="AW85">
        <v>2061.5613257771683</v>
      </c>
      <c r="AX85">
        <v>405.63425235034094</v>
      </c>
      <c r="AY85">
        <v>86.733134934270538</v>
      </c>
      <c r="AZ85">
        <v>125.39928127121782</v>
      </c>
      <c r="BA85">
        <v>27.600384178098594</v>
      </c>
      <c r="BB85">
        <v>631.34369040570982</v>
      </c>
    </row>
    <row r="86" spans="12:54" x14ac:dyDescent="0.25">
      <c r="L86" s="183"/>
      <c r="M86" t="s">
        <v>402</v>
      </c>
      <c r="N86" s="149">
        <v>3.2</v>
      </c>
      <c r="O86" s="149">
        <v>3.0307692304088034</v>
      </c>
      <c r="P86" s="147">
        <v>5.2884615497248988E-2</v>
      </c>
      <c r="Q86" s="147">
        <v>0.51183398866133623</v>
      </c>
      <c r="Z86">
        <v>27</v>
      </c>
      <c r="AA86">
        <v>209.63414634146341</v>
      </c>
      <c r="AB86">
        <v>0.1503726562834635</v>
      </c>
      <c r="AC86">
        <v>0</v>
      </c>
      <c r="AD86">
        <v>1988.1912333170208</v>
      </c>
      <c r="AE86">
        <v>343.9077648133985</v>
      </c>
      <c r="AF86">
        <v>80.230873794168332</v>
      </c>
      <c r="AG86">
        <v>125.53524058800315</v>
      </c>
      <c r="AH86">
        <v>29.667392497433557</v>
      </c>
      <c r="AI86">
        <v>610.70595338512817</v>
      </c>
      <c r="AJ86">
        <v>209.63414634146341</v>
      </c>
      <c r="AK86">
        <v>0.26759844708407909</v>
      </c>
      <c r="AL86">
        <v>0</v>
      </c>
      <c r="AM86">
        <v>1335.3311194188484</v>
      </c>
      <c r="AN86">
        <v>448.71541073156641</v>
      </c>
      <c r="AO86">
        <v>94.866092523428648</v>
      </c>
      <c r="AP86">
        <v>125.12228966346235</v>
      </c>
      <c r="AQ86">
        <v>23.244308746199675</v>
      </c>
      <c r="AR86">
        <v>217.84706041061554</v>
      </c>
      <c r="AS86">
        <v>209.63414634146341</v>
      </c>
      <c r="AT86">
        <v>0.16298298055994428</v>
      </c>
      <c r="AU86">
        <v>0.16962790242153969</v>
      </c>
      <c r="AV86">
        <v>0</v>
      </c>
      <c r="AW86">
        <v>2053.5520025294654</v>
      </c>
      <c r="AX86">
        <v>406.01660570025706</v>
      </c>
      <c r="AY86">
        <v>88.948151589618476</v>
      </c>
      <c r="AZ86">
        <v>125.42678094233332</v>
      </c>
      <c r="BA86">
        <v>27.986986110055213</v>
      </c>
      <c r="BB86">
        <v>627.20330890640878</v>
      </c>
    </row>
    <row r="87" spans="12:54" x14ac:dyDescent="0.25">
      <c r="L87" s="183"/>
      <c r="M87" t="s">
        <v>403</v>
      </c>
      <c r="N87" s="149">
        <v>2.16</v>
      </c>
      <c r="O87" s="149">
        <v>4.799640557931621</v>
      </c>
      <c r="P87" s="147">
        <v>1.2220558138572317</v>
      </c>
      <c r="Z87">
        <v>28</v>
      </c>
      <c r="AA87">
        <v>217.65853658536582</v>
      </c>
      <c r="AB87">
        <v>0.15111488907191642</v>
      </c>
      <c r="AC87">
        <v>0</v>
      </c>
      <c r="AD87">
        <v>1980.010311166302</v>
      </c>
      <c r="AE87">
        <v>344.2126421466524</v>
      </c>
      <c r="AF87">
        <v>82.106845294386417</v>
      </c>
      <c r="AG87">
        <v>125.56675371412932</v>
      </c>
      <c r="AH87">
        <v>30.110706298428962</v>
      </c>
      <c r="AI87">
        <v>606.10519205065441</v>
      </c>
      <c r="AJ87">
        <v>217.65853658536582</v>
      </c>
      <c r="AK87">
        <v>0.26967765888224526</v>
      </c>
      <c r="AL87">
        <v>0</v>
      </c>
      <c r="AM87">
        <v>1326.7549316892687</v>
      </c>
      <c r="AN87">
        <v>449.26307857440037</v>
      </c>
      <c r="AO87">
        <v>97.32324586001927</v>
      </c>
      <c r="AP87">
        <v>125.13791167480336</v>
      </c>
      <c r="AQ87">
        <v>23.449764977660511</v>
      </c>
      <c r="AR87">
        <v>212.8686428732365</v>
      </c>
      <c r="AS87">
        <v>217.65853658536582</v>
      </c>
      <c r="AT87">
        <v>0.16386985630334261</v>
      </c>
      <c r="AU87">
        <v>0.17053764089042178</v>
      </c>
      <c r="AV87">
        <v>0</v>
      </c>
      <c r="AW87">
        <v>2045.9021252063019</v>
      </c>
      <c r="AX87">
        <v>406.38141461651452</v>
      </c>
      <c r="AY87">
        <v>91.164962818207812</v>
      </c>
      <c r="AZ87">
        <v>125.45377718500268</v>
      </c>
      <c r="BA87">
        <v>28.371354525793567</v>
      </c>
      <c r="BB87">
        <v>623.24042746367593</v>
      </c>
    </row>
    <row r="88" spans="12:54" x14ac:dyDescent="0.25">
      <c r="L88" s="183"/>
      <c r="M88" t="s">
        <v>404</v>
      </c>
      <c r="N88" s="149">
        <v>2.7</v>
      </c>
      <c r="O88" s="149">
        <v>5.3248449960151465</v>
      </c>
      <c r="P88" s="147">
        <v>0.97216481333894322</v>
      </c>
      <c r="Z88">
        <v>29</v>
      </c>
      <c r="AA88">
        <v>225.68292682926827</v>
      </c>
      <c r="AB88">
        <v>0.15183814119669564</v>
      </c>
      <c r="AC88">
        <v>0</v>
      </c>
      <c r="AD88">
        <v>1971.5894170004005</v>
      </c>
      <c r="AE88">
        <v>344.53010933307297</v>
      </c>
      <c r="AF88">
        <v>83.984026935544449</v>
      </c>
      <c r="AG88">
        <v>125.59786061874016</v>
      </c>
      <c r="AH88">
        <v>30.551771337527416</v>
      </c>
      <c r="AI88">
        <v>601.35797673127036</v>
      </c>
      <c r="AJ88">
        <v>225.68292682926827</v>
      </c>
      <c r="AK88">
        <v>0.27170089965579153</v>
      </c>
      <c r="AL88">
        <v>0</v>
      </c>
      <c r="AM88">
        <v>1318.6155112931838</v>
      </c>
      <c r="AN88">
        <v>449.78432184191928</v>
      </c>
      <c r="AO88">
        <v>99.782755464096013</v>
      </c>
      <c r="AP88">
        <v>125.15316476785429</v>
      </c>
      <c r="AQ88">
        <v>23.653342377046251</v>
      </c>
      <c r="AR88">
        <v>208.15345275749749</v>
      </c>
      <c r="AS88">
        <v>225.68292682926827</v>
      </c>
      <c r="AT88">
        <v>0.1647274521892888</v>
      </c>
      <c r="AU88">
        <v>0.17141855274124948</v>
      </c>
      <c r="AV88">
        <v>0</v>
      </c>
      <c r="AW88">
        <v>2038.4277014591196</v>
      </c>
      <c r="AX88">
        <v>406.73828951705678</v>
      </c>
      <c r="AY88">
        <v>93.383150083007294</v>
      </c>
      <c r="AZ88">
        <v>125.48040470086194</v>
      </c>
      <c r="BA88">
        <v>28.754007295837042</v>
      </c>
      <c r="BB88">
        <v>619.36182792676573</v>
      </c>
    </row>
    <row r="89" spans="12:54" x14ac:dyDescent="0.25">
      <c r="L89" s="183"/>
      <c r="M89" t="s">
        <v>395</v>
      </c>
      <c r="N89" s="149">
        <v>42.94</v>
      </c>
      <c r="O89" s="149">
        <v>30.424904230102072</v>
      </c>
      <c r="P89" s="147">
        <v>0.29145542081737136</v>
      </c>
      <c r="Z89">
        <v>30</v>
      </c>
      <c r="AA89">
        <v>233.70731707317071</v>
      </c>
      <c r="AB89">
        <v>0.15254468636855215</v>
      </c>
      <c r="AC89">
        <v>0</v>
      </c>
      <c r="AD89">
        <v>1962.9104082906936</v>
      </c>
      <c r="AE89">
        <v>344.8610454123172</v>
      </c>
      <c r="AF89">
        <v>85.862485866495476</v>
      </c>
      <c r="AG89">
        <v>125.62857214920005</v>
      </c>
      <c r="AH89">
        <v>30.990524578071501</v>
      </c>
      <c r="AI89">
        <v>596.45321123265478</v>
      </c>
      <c r="AJ89">
        <v>233.70731707317071</v>
      </c>
      <c r="AK89">
        <v>0.27367046687469132</v>
      </c>
      <c r="AL89">
        <v>0</v>
      </c>
      <c r="AM89">
        <v>1310.8844460443026</v>
      </c>
      <c r="AN89">
        <v>450.28074055607681</v>
      </c>
      <c r="AO89">
        <v>102.24451579634626</v>
      </c>
      <c r="AP89">
        <v>125.16806920083869</v>
      </c>
      <c r="AQ89">
        <v>23.855123702039386</v>
      </c>
      <c r="AR89">
        <v>203.68432894997215</v>
      </c>
      <c r="AS89">
        <v>233.70731707317071</v>
      </c>
      <c r="AT89">
        <v>0.16555800859517428</v>
      </c>
      <c r="AU89">
        <v>0.17227278827731157</v>
      </c>
      <c r="AV89">
        <v>0</v>
      </c>
      <c r="AW89">
        <v>2031.054600897196</v>
      </c>
      <c r="AX89">
        <v>407.09132942209527</v>
      </c>
      <c r="AY89">
        <v>95.602708703546469</v>
      </c>
      <c r="AZ89">
        <v>125.50668090388244</v>
      </c>
      <c r="BA89">
        <v>29.134958384152185</v>
      </c>
      <c r="BB89">
        <v>615.52893575639189</v>
      </c>
    </row>
    <row r="90" spans="12:54" x14ac:dyDescent="0.25">
      <c r="L90" s="183"/>
      <c r="M90" t="s">
        <v>397</v>
      </c>
      <c r="N90" s="148">
        <v>55.000000000000007</v>
      </c>
      <c r="O90" s="148">
        <v>38.03113028762759</v>
      </c>
      <c r="P90" s="147">
        <v>0.30852490386131659</v>
      </c>
      <c r="Z90">
        <v>31</v>
      </c>
      <c r="AA90">
        <v>241.73170731707313</v>
      </c>
      <c r="AB90">
        <v>0.15323662233287635</v>
      </c>
      <c r="AC90">
        <v>0</v>
      </c>
      <c r="AD90">
        <v>1953.9706153787542</v>
      </c>
      <c r="AE90">
        <v>345.20564429772759</v>
      </c>
      <c r="AF90">
        <v>87.742288487110443</v>
      </c>
      <c r="AG90">
        <v>125.6588983699142</v>
      </c>
      <c r="AH90">
        <v>31.426904017895115</v>
      </c>
      <c r="AI90">
        <v>591.38860953957123</v>
      </c>
      <c r="AJ90">
        <v>241.73170731707313</v>
      </c>
      <c r="AK90">
        <v>0.27558855049269743</v>
      </c>
      <c r="AL90">
        <v>0</v>
      </c>
      <c r="AM90">
        <v>1303.5351780640449</v>
      </c>
      <c r="AN90">
        <v>450.75383728286681</v>
      </c>
      <c r="AO90">
        <v>104.70842613443631</v>
      </c>
      <c r="AP90">
        <v>125.18264405620093</v>
      </c>
      <c r="AQ90">
        <v>24.055187704206414</v>
      </c>
      <c r="AR90">
        <v>199.44520742991148</v>
      </c>
      <c r="AS90">
        <v>241.73170731707313</v>
      </c>
      <c r="AT90">
        <v>0.16636374558293546</v>
      </c>
      <c r="AU90">
        <v>0.17310247627619518</v>
      </c>
      <c r="AV90">
        <v>0</v>
      </c>
      <c r="AW90">
        <v>2023.7106149401134</v>
      </c>
      <c r="AX90">
        <v>407.44455441020642</v>
      </c>
      <c r="AY90">
        <v>97.823647692462814</v>
      </c>
      <c r="AZ90">
        <v>125.53262150342364</v>
      </c>
      <c r="BA90">
        <v>29.514210503401944</v>
      </c>
      <c r="BB90">
        <v>611.70398501774048</v>
      </c>
    </row>
    <row r="91" spans="12:54" x14ac:dyDescent="0.25">
      <c r="L91" s="183"/>
      <c r="M91" t="s">
        <v>396</v>
      </c>
      <c r="N91" s="149">
        <v>82.09</v>
      </c>
      <c r="O91" s="149">
        <v>63.708541450322144</v>
      </c>
      <c r="P91" s="147">
        <v>0.22391836459590519</v>
      </c>
      <c r="Z91">
        <v>32</v>
      </c>
      <c r="AA91">
        <v>249.75609756097558</v>
      </c>
      <c r="AB91">
        <v>0.15391545512864596</v>
      </c>
      <c r="AC91">
        <v>0</v>
      </c>
      <c r="AD91">
        <v>1944.7699285453707</v>
      </c>
      <c r="AE91">
        <v>345.56407733627429</v>
      </c>
      <c r="AF91">
        <v>89.623560569883665</v>
      </c>
      <c r="AG91">
        <v>125.68883417147345</v>
      </c>
      <c r="AH91">
        <v>31.860747670181379</v>
      </c>
      <c r="AI91">
        <v>586.16283011279893</v>
      </c>
      <c r="AJ91">
        <v>249.75609756097558</v>
      </c>
      <c r="AK91">
        <v>0.27745536013181349</v>
      </c>
      <c r="AL91">
        <v>0</v>
      </c>
      <c r="AM91">
        <v>1296.5560289700388</v>
      </c>
      <c r="AN91">
        <v>451.20421199183966</v>
      </c>
      <c r="AO91">
        <v>107.17446790934986</v>
      </c>
      <c r="AP91">
        <v>125.19689567769481</v>
      </c>
      <c r="AQ91">
        <v>24.253547157358607</v>
      </c>
      <c r="AR91">
        <v>195.42895910706059</v>
      </c>
      <c r="AS91">
        <v>249.75609756097558</v>
      </c>
      <c r="AT91">
        <v>0.16714608574848866</v>
      </c>
      <c r="AU91">
        <v>0.17390894819561492</v>
      </c>
      <c r="AV91">
        <v>0</v>
      </c>
      <c r="AW91">
        <v>2016.3196357095205</v>
      </c>
      <c r="AX91">
        <v>407.80230834621261</v>
      </c>
      <c r="AY91">
        <v>100.04604939178488</v>
      </c>
      <c r="AZ91">
        <v>125.55822823110039</v>
      </c>
      <c r="BA91">
        <v>29.891684413538428</v>
      </c>
      <c r="BB91">
        <v>607.84663971964858</v>
      </c>
    </row>
    <row r="92" spans="12:54" x14ac:dyDescent="0.25">
      <c r="L92" s="183"/>
      <c r="M92" t="s">
        <v>385</v>
      </c>
      <c r="N92" t="s">
        <v>406</v>
      </c>
      <c r="P92" s="147"/>
      <c r="Z92">
        <v>33</v>
      </c>
      <c r="AA92">
        <v>257.78048780487802</v>
      </c>
      <c r="AB92">
        <v>0.1545811741584209</v>
      </c>
      <c r="AC92">
        <v>0</v>
      </c>
      <c r="AD92">
        <v>1935.2645510779346</v>
      </c>
      <c r="AE92">
        <v>345.93896330655389</v>
      </c>
      <c r="AF92">
        <v>91.506768762217419</v>
      </c>
      <c r="AG92">
        <v>125.71830347063617</v>
      </c>
      <c r="AH92">
        <v>32.291347450090569</v>
      </c>
      <c r="AI92">
        <v>580.74659319643558</v>
      </c>
      <c r="AJ92">
        <v>257.78048780487802</v>
      </c>
      <c r="AK92">
        <v>0.27926239032933314</v>
      </c>
      <c r="AL92">
        <v>0</v>
      </c>
      <c r="AM92">
        <v>1289.9932426494261</v>
      </c>
      <c r="AN92">
        <v>451.62886106885605</v>
      </c>
      <c r="AO92">
        <v>109.64297820244457</v>
      </c>
      <c r="AP92">
        <v>125.2107779873394</v>
      </c>
      <c r="AQ92">
        <v>24.449928375851179</v>
      </c>
      <c r="AR92">
        <v>191.66322077634388</v>
      </c>
      <c r="AS92">
        <v>257.78048780487802</v>
      </c>
      <c r="AT92">
        <v>0.16790361505226101</v>
      </c>
      <c r="AU92">
        <v>0.17469066178738654</v>
      </c>
      <c r="AV92">
        <v>0</v>
      </c>
      <c r="AW92">
        <v>2008.7440937662982</v>
      </c>
      <c r="AX92">
        <v>408.1728555824663</v>
      </c>
      <c r="AY92">
        <v>102.27035422866459</v>
      </c>
      <c r="AZ92">
        <v>125.58344299762864</v>
      </c>
      <c r="BA92">
        <v>30.266901996494642</v>
      </c>
      <c r="BB92">
        <v>603.88202741969462</v>
      </c>
    </row>
    <row r="93" spans="12:54" x14ac:dyDescent="0.25">
      <c r="L93" s="183"/>
      <c r="M93" t="s">
        <v>405</v>
      </c>
      <c r="N93" s="149">
        <v>10.162669542755641</v>
      </c>
      <c r="Z93">
        <v>34</v>
      </c>
      <c r="AA93">
        <v>265.80487804878044</v>
      </c>
      <c r="AB93">
        <v>0.15523866516550983</v>
      </c>
      <c r="AC93">
        <v>0</v>
      </c>
      <c r="AD93">
        <v>1925.5355793902734</v>
      </c>
      <c r="AE93">
        <v>346.32615561121207</v>
      </c>
      <c r="AF93">
        <v>93.391567546623875</v>
      </c>
      <c r="AG93">
        <v>125.74742071594302</v>
      </c>
      <c r="AH93">
        <v>32.719349022891905</v>
      </c>
      <c r="AI93">
        <v>575.18889778881294</v>
      </c>
      <c r="AJ93">
        <v>265.80487804878044</v>
      </c>
      <c r="AK93">
        <v>0.28102541968942618</v>
      </c>
      <c r="AL93">
        <v>0</v>
      </c>
      <c r="AM93">
        <v>1283.7269424839396</v>
      </c>
      <c r="AN93">
        <v>452.03508518374741</v>
      </c>
      <c r="AO93">
        <v>112.11329339862698</v>
      </c>
      <c r="AP93">
        <v>125.22439344799973</v>
      </c>
      <c r="AQ93">
        <v>24.644859725452513</v>
      </c>
      <c r="AR93">
        <v>188.07568575941255</v>
      </c>
      <c r="AS93">
        <v>265.80487804878044</v>
      </c>
      <c r="AT93">
        <v>0.16864468841422092</v>
      </c>
      <c r="AU93">
        <v>0.17545589518058435</v>
      </c>
      <c r="AV93">
        <v>0</v>
      </c>
      <c r="AW93">
        <v>2000.9692161071171</v>
      </c>
      <c r="AX93">
        <v>408.55658941069453</v>
      </c>
      <c r="AY93">
        <v>104.49623089569013</v>
      </c>
      <c r="AZ93">
        <v>125.60836483340263</v>
      </c>
      <c r="BA93">
        <v>30.640305118521752</v>
      </c>
      <c r="BB93">
        <v>599.80379840932028</v>
      </c>
    </row>
    <row r="94" spans="12:54" x14ac:dyDescent="0.25">
      <c r="L94" s="183"/>
      <c r="M94" t="s">
        <v>399</v>
      </c>
      <c r="N94" s="149">
        <v>10.480300314831466</v>
      </c>
      <c r="Z94">
        <v>35</v>
      </c>
      <c r="AA94">
        <v>273.82926829268291</v>
      </c>
      <c r="AB94">
        <v>0.15588912257911719</v>
      </c>
      <c r="AC94">
        <v>0</v>
      </c>
      <c r="AD94">
        <v>1915.5922568404703</v>
      </c>
      <c r="AE94">
        <v>346.72531621186334</v>
      </c>
      <c r="AF94">
        <v>95.278014545885526</v>
      </c>
      <c r="AG94">
        <v>125.77619252051433</v>
      </c>
      <c r="AH94">
        <v>33.144701875991053</v>
      </c>
      <c r="AI94">
        <v>569.49438266500056</v>
      </c>
      <c r="AJ94">
        <v>273.82926829268291</v>
      </c>
      <c r="AK94">
        <v>0.28274605183984286</v>
      </c>
      <c r="AL94">
        <v>0</v>
      </c>
      <c r="AM94">
        <v>1277.7400598729484</v>
      </c>
      <c r="AN94">
        <v>452.42387983482126</v>
      </c>
      <c r="AO94">
        <v>114.5853394429937</v>
      </c>
      <c r="AP94">
        <v>125.23775491338161</v>
      </c>
      <c r="AQ94">
        <v>24.838398071578393</v>
      </c>
      <c r="AR94">
        <v>184.65595764566186</v>
      </c>
      <c r="AS94">
        <v>273.82926829268291</v>
      </c>
      <c r="AT94">
        <v>0.1693710455623495</v>
      </c>
      <c r="AU94">
        <v>0.17620635459762757</v>
      </c>
      <c r="AV94">
        <v>0</v>
      </c>
      <c r="AW94">
        <v>1992.9952835840322</v>
      </c>
      <c r="AX94">
        <v>408.95355079595885</v>
      </c>
      <c r="AY94">
        <v>106.72374332377927</v>
      </c>
      <c r="AZ94">
        <v>125.63300043854645</v>
      </c>
      <c r="BA94">
        <v>31.011852245909957</v>
      </c>
      <c r="BB94">
        <v>595.61154314152634</v>
      </c>
    </row>
    <row r="95" spans="12:54" x14ac:dyDescent="0.25">
      <c r="L95" s="183"/>
      <c r="M95" t="s">
        <v>400</v>
      </c>
      <c r="N95" s="168">
        <v>0.29367632331231452</v>
      </c>
      <c r="Z95">
        <v>36</v>
      </c>
      <c r="AA95">
        <v>281.85365853658533</v>
      </c>
      <c r="AB95">
        <v>0.15653365329484917</v>
      </c>
      <c r="AC95">
        <v>0</v>
      </c>
      <c r="AD95">
        <v>1905.4437704678501</v>
      </c>
      <c r="AE95">
        <v>347.13610856229701</v>
      </c>
      <c r="AF95">
        <v>97.166166138626508</v>
      </c>
      <c r="AG95">
        <v>125.804625096915</v>
      </c>
      <c r="AH95">
        <v>33.56735714597059</v>
      </c>
      <c r="AI95">
        <v>563.66768153628516</v>
      </c>
      <c r="AJ95">
        <v>281.85365853658533</v>
      </c>
      <c r="AK95">
        <v>0.28442582509814823</v>
      </c>
      <c r="AL95">
        <v>0</v>
      </c>
      <c r="AM95">
        <v>1272.0164973791825</v>
      </c>
      <c r="AN95">
        <v>452.79618747435626</v>
      </c>
      <c r="AO95">
        <v>117.05904530570741</v>
      </c>
      <c r="AP95">
        <v>125.25087457171753</v>
      </c>
      <c r="AQ95">
        <v>25.030597838559821</v>
      </c>
      <c r="AR95">
        <v>181.39422664542468</v>
      </c>
      <c r="AS95">
        <v>281.85365853658533</v>
      </c>
      <c r="AT95">
        <v>0.17008430682414433</v>
      </c>
      <c r="AU95">
        <v>0.17694362867936075</v>
      </c>
      <c r="AV95">
        <v>0</v>
      </c>
      <c r="AW95">
        <v>1984.8268844154632</v>
      </c>
      <c r="AX95">
        <v>409.36353609837823</v>
      </c>
      <c r="AY95">
        <v>108.95295430787303</v>
      </c>
      <c r="AZ95">
        <v>125.65735617999185</v>
      </c>
      <c r="BA95">
        <v>31.381502835291716</v>
      </c>
      <c r="BB95">
        <v>591.3071334143383</v>
      </c>
    </row>
    <row r="96" spans="12:54" x14ac:dyDescent="0.25">
      <c r="L96" s="183"/>
      <c r="M96" t="s">
        <v>401</v>
      </c>
      <c r="N96" s="168">
        <v>0.23383136490433531</v>
      </c>
      <c r="Q96" t="s">
        <v>398</v>
      </c>
      <c r="Z96">
        <v>37</v>
      </c>
      <c r="AA96">
        <v>289.8780487804878</v>
      </c>
      <c r="AB96">
        <v>0.15717320560632667</v>
      </c>
      <c r="AC96">
        <v>0</v>
      </c>
      <c r="AD96">
        <v>1895.0955719975066</v>
      </c>
      <c r="AE96">
        <v>347.55841527677484</v>
      </c>
      <c r="AF96">
        <v>99.056114548262215</v>
      </c>
      <c r="AG96">
        <v>125.8327176966546</v>
      </c>
      <c r="AH96">
        <v>33.98721093596766</v>
      </c>
      <c r="AI96">
        <v>557.71099153308273</v>
      </c>
      <c r="AJ96">
        <v>289.8780487804878</v>
      </c>
      <c r="AK96">
        <v>0.28606546042257991</v>
      </c>
      <c r="AL96">
        <v>0</v>
      </c>
      <c r="AM96">
        <v>1266.5457100158401</v>
      </c>
      <c r="AN96">
        <v>453.15260798702059</v>
      </c>
      <c r="AO96">
        <v>119.53437313849257</v>
      </c>
      <c r="AP96">
        <v>125.26375962632882</v>
      </c>
      <c r="AQ96">
        <v>25.22148654687749</v>
      </c>
      <c r="AR96">
        <v>178.28401150186568</v>
      </c>
      <c r="AS96">
        <v>289.8780487804878</v>
      </c>
      <c r="AT96">
        <v>0.1707857803101103</v>
      </c>
      <c r="AU96">
        <v>0.17766899175246173</v>
      </c>
      <c r="AV96">
        <v>0</v>
      </c>
      <c r="AW96">
        <v>1976.4671749050947</v>
      </c>
      <c r="AX96">
        <v>409.7864651325288</v>
      </c>
      <c r="AY96">
        <v>111.18396270830007</v>
      </c>
      <c r="AZ96">
        <v>125.68143281201208</v>
      </c>
      <c r="BA96">
        <v>31.749177233065378</v>
      </c>
      <c r="BB96">
        <v>586.89147826266799</v>
      </c>
    </row>
    <row r="97" spans="26:54" x14ac:dyDescent="0.25">
      <c r="Z97">
        <v>38</v>
      </c>
      <c r="AA97">
        <v>297.90243902439022</v>
      </c>
      <c r="AB97">
        <v>0.1578080810005271</v>
      </c>
      <c r="AC97">
        <v>0</v>
      </c>
      <c r="AD97">
        <v>1884.5090431886827</v>
      </c>
      <c r="AE97">
        <v>347.99482521456497</v>
      </c>
      <c r="AF97">
        <v>100.94846625349665</v>
      </c>
      <c r="AG97">
        <v>125.86038489024922</v>
      </c>
      <c r="AH97">
        <v>34.403391748156345</v>
      </c>
      <c r="AI97">
        <v>551.59676612125429</v>
      </c>
      <c r="AJ97">
        <v>297.90243902439022</v>
      </c>
      <c r="AK97">
        <v>0.28765632915786965</v>
      </c>
      <c r="AL97">
        <v>0</v>
      </c>
      <c r="AM97">
        <v>1261.3724695816986</v>
      </c>
      <c r="AN97">
        <v>453.49023287697412</v>
      </c>
      <c r="AO97">
        <v>122.01165656378244</v>
      </c>
      <c r="AP97">
        <v>125.27636437713204</v>
      </c>
      <c r="AQ97">
        <v>25.41078881149631</v>
      </c>
      <c r="AR97">
        <v>175.3518688060656</v>
      </c>
      <c r="AS97">
        <v>297.90243902439022</v>
      </c>
      <c r="AT97">
        <v>0.1714746853824563</v>
      </c>
      <c r="AU97">
        <v>0.17838157378236852</v>
      </c>
      <c r="AV97">
        <v>0</v>
      </c>
      <c r="AW97">
        <v>1967.8754685853198</v>
      </c>
      <c r="AX97">
        <v>410.2253396943039</v>
      </c>
      <c r="AY97">
        <v>113.4173876804022</v>
      </c>
      <c r="AZ97">
        <v>125.70516245733818</v>
      </c>
      <c r="BA97">
        <v>32.11424836570955</v>
      </c>
      <c r="BB97">
        <v>582.33922227908954</v>
      </c>
    </row>
    <row r="98" spans="26:54" x14ac:dyDescent="0.25">
      <c r="Z98">
        <v>39</v>
      </c>
      <c r="AA98">
        <v>305.92682926829264</v>
      </c>
      <c r="AB98">
        <v>0.15844047636072336</v>
      </c>
      <c r="AC98">
        <v>0</v>
      </c>
      <c r="AD98">
        <v>1873.752912708514</v>
      </c>
      <c r="AE98">
        <v>348.44155495134572</v>
      </c>
      <c r="AF98">
        <v>102.84273080977113</v>
      </c>
      <c r="AG98">
        <v>125.88773313407216</v>
      </c>
      <c r="AH98">
        <v>34.816701657149935</v>
      </c>
      <c r="AI98">
        <v>545.3686071712923</v>
      </c>
      <c r="AJ98">
        <v>305.92682926829264</v>
      </c>
      <c r="AK98">
        <v>0.28921170079569775</v>
      </c>
      <c r="AL98">
        <v>0</v>
      </c>
      <c r="AM98">
        <v>1256.4093872838123</v>
      </c>
      <c r="AN98">
        <v>453.81452048619911</v>
      </c>
      <c r="AO98">
        <v>124.49035254811938</v>
      </c>
      <c r="AP98">
        <v>125.28876824651472</v>
      </c>
      <c r="AQ98">
        <v>25.598940712462102</v>
      </c>
      <c r="AR98">
        <v>172.54529086446308</v>
      </c>
      <c r="AS98">
        <v>305.92682926829264</v>
      </c>
      <c r="AT98">
        <v>0.17215562503623968</v>
      </c>
      <c r="AU98">
        <v>0.17908598951223381</v>
      </c>
      <c r="AV98">
        <v>0</v>
      </c>
      <c r="AW98">
        <v>1959.1158737876904</v>
      </c>
      <c r="AX98">
        <v>410.67594822602945</v>
      </c>
      <c r="AY98">
        <v>115.65274504005575</v>
      </c>
      <c r="AZ98">
        <v>125.72863341477235</v>
      </c>
      <c r="BA98">
        <v>32.477275479101444</v>
      </c>
      <c r="BB98">
        <v>577.68681146221661</v>
      </c>
    </row>
    <row r="99" spans="26:54" x14ac:dyDescent="0.25">
      <c r="Z99">
        <v>40</v>
      </c>
      <c r="AA99">
        <v>313.95121951219511</v>
      </c>
      <c r="AB99">
        <v>0.15907104842456826</v>
      </c>
      <c r="AC99">
        <v>0</v>
      </c>
      <c r="AD99">
        <v>1862.8358062005034</v>
      </c>
      <c r="AE99">
        <v>348.8982829170975</v>
      </c>
      <c r="AF99">
        <v>104.73895637641139</v>
      </c>
      <c r="AG99">
        <v>125.91476654661314</v>
      </c>
      <c r="AH99">
        <v>35.227102712251444</v>
      </c>
      <c r="AI99">
        <v>539.03104075613714</v>
      </c>
      <c r="AJ99">
        <v>313.95121951219511</v>
      </c>
      <c r="AK99">
        <v>0.29073274551785866</v>
      </c>
      <c r="AL99">
        <v>0</v>
      </c>
      <c r="AM99">
        <v>1251.645556068712</v>
      </c>
      <c r="AN99">
        <v>454.12612560067697</v>
      </c>
      <c r="AO99">
        <v>126.97040727977284</v>
      </c>
      <c r="AP99">
        <v>125.3009797874589</v>
      </c>
      <c r="AQ99">
        <v>25.785982929641662</v>
      </c>
      <c r="AR99">
        <v>169.8576206971712</v>
      </c>
      <c r="AS99">
        <v>313.95121951219511</v>
      </c>
      <c r="AT99">
        <v>0.17282959879439888</v>
      </c>
      <c r="AU99">
        <v>0.17978321412666215</v>
      </c>
      <c r="AV99">
        <v>0</v>
      </c>
      <c r="AW99">
        <v>1950.1949894400145</v>
      </c>
      <c r="AX99">
        <v>411.13796861603714</v>
      </c>
      <c r="AY99">
        <v>117.89008936504177</v>
      </c>
      <c r="AZ99">
        <v>125.7518498964796</v>
      </c>
      <c r="BA99">
        <v>32.838225213987052</v>
      </c>
      <c r="BB99">
        <v>572.93726946412789</v>
      </c>
    </row>
    <row r="100" spans="26:54" x14ac:dyDescent="0.25">
      <c r="Z100">
        <v>41</v>
      </c>
      <c r="AA100">
        <v>321.97560975609753</v>
      </c>
      <c r="AB100">
        <v>0.15970040838959176</v>
      </c>
      <c r="AC100">
        <v>0</v>
      </c>
      <c r="AD100">
        <v>1851.7662394691356</v>
      </c>
      <c r="AE100">
        <v>349.36469053095107</v>
      </c>
      <c r="AF100">
        <v>106.63718996417485</v>
      </c>
      <c r="AG100">
        <v>125.94148903270872</v>
      </c>
      <c r="AH100">
        <v>35.634558483166394</v>
      </c>
      <c r="AI100">
        <v>532.58856531663366</v>
      </c>
      <c r="AJ100">
        <v>321.97560975609753</v>
      </c>
      <c r="AK100">
        <v>0.29222059112816884</v>
      </c>
      <c r="AL100">
        <v>0</v>
      </c>
      <c r="AM100">
        <v>1247.070625555197</v>
      </c>
      <c r="AN100">
        <v>454.42567151539276</v>
      </c>
      <c r="AO100">
        <v>129.45176894809958</v>
      </c>
      <c r="AP100">
        <v>125.31300715326233</v>
      </c>
      <c r="AQ100">
        <v>25.971954567654041</v>
      </c>
      <c r="AR100">
        <v>167.28254157788763</v>
      </c>
      <c r="AS100">
        <v>321.97560975609753</v>
      </c>
      <c r="AT100">
        <v>0.17349754254000094</v>
      </c>
      <c r="AU100">
        <v>0.18047416010267514</v>
      </c>
      <c r="AV100">
        <v>0</v>
      </c>
      <c r="AW100">
        <v>1941.119373959024</v>
      </c>
      <c r="AX100">
        <v>411.61107996993337</v>
      </c>
      <c r="AY100">
        <v>120.12947406161707</v>
      </c>
      <c r="AZ100">
        <v>125.77481586763346</v>
      </c>
      <c r="BA100">
        <v>33.197065241389843</v>
      </c>
      <c r="BB100">
        <v>568.09361519366757</v>
      </c>
    </row>
    <row r="101" spans="26:54" x14ac:dyDescent="0.25">
      <c r="Z101">
        <v>42</v>
      </c>
      <c r="AA101">
        <v>330</v>
      </c>
      <c r="AB101">
        <v>0.16032912234991054</v>
      </c>
      <c r="AC101">
        <v>0</v>
      </c>
      <c r="AD101">
        <v>1840.5526178463042</v>
      </c>
      <c r="AE101">
        <v>349.84046222023204</v>
      </c>
      <c r="AF101">
        <v>108.53747743676156</v>
      </c>
      <c r="AG101">
        <v>125.96790428559972</v>
      </c>
      <c r="AH101">
        <v>36.039034057773058</v>
      </c>
      <c r="AI101">
        <v>526.04565138089231</v>
      </c>
      <c r="AJ101">
        <v>330</v>
      </c>
      <c r="AK101">
        <v>0.29367632331231452</v>
      </c>
      <c r="AL101">
        <v>0</v>
      </c>
      <c r="AM101">
        <v>1242.6747975918779</v>
      </c>
      <c r="AN101">
        <v>454.71375026862768</v>
      </c>
      <c r="AO101">
        <v>131.93438773164445</v>
      </c>
      <c r="AP101">
        <v>125.32485810049383</v>
      </c>
      <c r="AQ101">
        <v>26.156893165795136</v>
      </c>
      <c r="AR101">
        <v>164.81407436565743</v>
      </c>
      <c r="AS101">
        <v>330</v>
      </c>
      <c r="AT101">
        <v>0.17416032910216236</v>
      </c>
      <c r="AU101">
        <v>0.18115967779207118</v>
      </c>
      <c r="AV101">
        <v>0</v>
      </c>
      <c r="AW101">
        <v>1931.8955447155995</v>
      </c>
      <c r="AX101">
        <v>412.09496262837246</v>
      </c>
      <c r="AY101">
        <v>122.3709513653998</v>
      </c>
      <c r="AZ101">
        <v>125.7975350486858</v>
      </c>
      <c r="BA101">
        <v>33.553764261892923</v>
      </c>
      <c r="BB101">
        <v>563.1588626169505</v>
      </c>
    </row>
    <row r="102" spans="26:54" x14ac:dyDescent="0.25">
      <c r="AD102">
        <f>SUM(out_4)</f>
        <v>83852.173134737124</v>
      </c>
      <c r="AE102">
        <f>SUM(out_5)</f>
        <v>13689.188723033883</v>
      </c>
    </row>
    <row r="1539" spans="19:19" x14ac:dyDescent="0.25">
      <c r="S1539">
        <f>mu_emulsion_mpas(20,15)</f>
        <v>1152.2</v>
      </c>
    </row>
  </sheetData>
  <dataConsolidate link="1"/>
  <mergeCells count="15">
    <mergeCell ref="V1:AA1"/>
    <mergeCell ref="L2:N2"/>
    <mergeCell ref="AA57:AI57"/>
    <mergeCell ref="AJ57:AR57"/>
    <mergeCell ref="P1:U1"/>
    <mergeCell ref="AB1:AE1"/>
    <mergeCell ref="AJ55:AR55"/>
    <mergeCell ref="AB55:AI55"/>
    <mergeCell ref="Q48:Q53"/>
    <mergeCell ref="Q67:Q72"/>
    <mergeCell ref="L60:L77"/>
    <mergeCell ref="L41:L58"/>
    <mergeCell ref="L78:L96"/>
    <mergeCell ref="AS57:BA57"/>
    <mergeCell ref="AS55:BB55"/>
  </mergeCells>
  <pageMargins left="0.7" right="0.7" top="0.75" bottom="0.75" header="0.3" footer="0.3"/>
  <pageSetup paperSize="9" orientation="portrait" r:id="rId1"/>
  <ignoredErrors>
    <ignoredError sqref="N52:O5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19</xdr:col>
                    <xdr:colOff>400050</xdr:colOff>
                    <xdr:row>20</xdr:row>
                    <xdr:rowOff>76200</xdr:rowOff>
                  </from>
                  <to>
                    <xdr:col>24</xdr:col>
                    <xdr:colOff>152400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19</xdr:col>
                    <xdr:colOff>371475</xdr:colOff>
                    <xdr:row>25</xdr:row>
                    <xdr:rowOff>123825</xdr:rowOff>
                  </from>
                  <to>
                    <xdr:col>24</xdr:col>
                    <xdr:colOff>133350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3</xdr:row>
                    <xdr:rowOff>38100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3</xdr:row>
                    <xdr:rowOff>28575</xdr:rowOff>
                  </from>
                  <to>
                    <xdr:col>9</xdr:col>
                    <xdr:colOff>9525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3</xdr:row>
                    <xdr:rowOff>9525</xdr:rowOff>
                  </from>
                  <to>
                    <xdr:col>12</xdr:col>
                    <xdr:colOff>1219200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M107"/>
  <sheetViews>
    <sheetView workbookViewId="0">
      <selection activeCell="M17" sqref="M17"/>
    </sheetView>
  </sheetViews>
  <sheetFormatPr defaultRowHeight="15" x14ac:dyDescent="0.25"/>
  <sheetData>
    <row r="3" spans="2:13" x14ac:dyDescent="0.25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13" x14ac:dyDescent="0.25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13" x14ac:dyDescent="0.25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13" x14ac:dyDescent="0.25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13" x14ac:dyDescent="0.25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13" x14ac:dyDescent="0.25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  <row r="13" spans="2:13" x14ac:dyDescent="0.25">
      <c r="M13" t="s">
        <v>270</v>
      </c>
    </row>
    <row r="14" spans="2:13" x14ac:dyDescent="0.25">
      <c r="M14" t="s">
        <v>271</v>
      </c>
    </row>
    <row r="15" spans="2:13" x14ac:dyDescent="0.25">
      <c r="M15" t="s">
        <v>272</v>
      </c>
    </row>
    <row r="16" spans="2:13" x14ac:dyDescent="0.25">
      <c r="M16" t="s">
        <v>273</v>
      </c>
    </row>
    <row r="17" spans="13:13" x14ac:dyDescent="0.25">
      <c r="M17" t="s">
        <v>274</v>
      </c>
    </row>
    <row r="18" spans="13:13" x14ac:dyDescent="0.25">
      <c r="M18" t="s">
        <v>275</v>
      </c>
    </row>
    <row r="19" spans="13:13" x14ac:dyDescent="0.25">
      <c r="M19" t="s">
        <v>276</v>
      </c>
    </row>
    <row r="20" spans="13:13" x14ac:dyDescent="0.25">
      <c r="M20" t="s">
        <v>277</v>
      </c>
    </row>
    <row r="21" spans="13:13" x14ac:dyDescent="0.25">
      <c r="M21" t="s">
        <v>278</v>
      </c>
    </row>
    <row r="22" spans="13:13" x14ac:dyDescent="0.25">
      <c r="M22" t="s">
        <v>279</v>
      </c>
    </row>
    <row r="23" spans="13:13" x14ac:dyDescent="0.25">
      <c r="M23" t="s">
        <v>280</v>
      </c>
    </row>
    <row r="24" spans="13:13" x14ac:dyDescent="0.25">
      <c r="M24" t="s">
        <v>281</v>
      </c>
    </row>
    <row r="25" spans="13:13" x14ac:dyDescent="0.25">
      <c r="M25" t="s">
        <v>282</v>
      </c>
    </row>
    <row r="26" spans="13:13" x14ac:dyDescent="0.25">
      <c r="M26" t="s">
        <v>283</v>
      </c>
    </row>
    <row r="27" spans="13:13" x14ac:dyDescent="0.25">
      <c r="M27" t="s">
        <v>284</v>
      </c>
    </row>
    <row r="28" spans="13:13" x14ac:dyDescent="0.25">
      <c r="M28" t="s">
        <v>285</v>
      </c>
    </row>
    <row r="29" spans="13:13" x14ac:dyDescent="0.25">
      <c r="M29" t="s">
        <v>286</v>
      </c>
    </row>
    <row r="30" spans="13:13" x14ac:dyDescent="0.25">
      <c r="M30" t="s">
        <v>287</v>
      </c>
    </row>
    <row r="31" spans="13:13" x14ac:dyDescent="0.25">
      <c r="M31" t="s">
        <v>288</v>
      </c>
    </row>
    <row r="32" spans="13:13" x14ac:dyDescent="0.25">
      <c r="M32" t="s">
        <v>289</v>
      </c>
    </row>
    <row r="33" spans="13:13" x14ac:dyDescent="0.25">
      <c r="M33" t="s">
        <v>290</v>
      </c>
    </row>
    <row r="34" spans="13:13" x14ac:dyDescent="0.25">
      <c r="M34" t="s">
        <v>291</v>
      </c>
    </row>
    <row r="35" spans="13:13" x14ac:dyDescent="0.25">
      <c r="M35" t="s">
        <v>292</v>
      </c>
    </row>
    <row r="36" spans="13:13" x14ac:dyDescent="0.25">
      <c r="M36" t="s">
        <v>293</v>
      </c>
    </row>
    <row r="37" spans="13:13" x14ac:dyDescent="0.25">
      <c r="M37" t="s">
        <v>294</v>
      </c>
    </row>
    <row r="38" spans="13:13" x14ac:dyDescent="0.25">
      <c r="M38" t="s">
        <v>295</v>
      </c>
    </row>
    <row r="39" spans="13:13" x14ac:dyDescent="0.25">
      <c r="M39" t="s">
        <v>296</v>
      </c>
    </row>
    <row r="40" spans="13:13" x14ac:dyDescent="0.25">
      <c r="M40" t="s">
        <v>297</v>
      </c>
    </row>
    <row r="41" spans="13:13" x14ac:dyDescent="0.25">
      <c r="M41" t="s">
        <v>298</v>
      </c>
    </row>
    <row r="42" spans="13:13" x14ac:dyDescent="0.25">
      <c r="M42" t="s">
        <v>299</v>
      </c>
    </row>
    <row r="43" spans="13:13" x14ac:dyDescent="0.25">
      <c r="M43" t="s">
        <v>300</v>
      </c>
    </row>
    <row r="44" spans="13:13" x14ac:dyDescent="0.25">
      <c r="M44" t="s">
        <v>301</v>
      </c>
    </row>
    <row r="45" spans="13:13" x14ac:dyDescent="0.25">
      <c r="M45" t="s">
        <v>302</v>
      </c>
    </row>
    <row r="46" spans="13:13" x14ac:dyDescent="0.25">
      <c r="M46" t="s">
        <v>303</v>
      </c>
    </row>
    <row r="47" spans="13:13" x14ac:dyDescent="0.25">
      <c r="M47" t="s">
        <v>304</v>
      </c>
    </row>
    <row r="48" spans="13:13" x14ac:dyDescent="0.25">
      <c r="M48" t="s">
        <v>305</v>
      </c>
    </row>
    <row r="49" spans="13:13" x14ac:dyDescent="0.25">
      <c r="M49" t="s">
        <v>306</v>
      </c>
    </row>
    <row r="50" spans="13:13" x14ac:dyDescent="0.25">
      <c r="M50" t="s">
        <v>307</v>
      </c>
    </row>
    <row r="51" spans="13:13" x14ac:dyDescent="0.25">
      <c r="M51" t="s">
        <v>308</v>
      </c>
    </row>
    <row r="52" spans="13:13" x14ac:dyDescent="0.25">
      <c r="M52" t="s">
        <v>309</v>
      </c>
    </row>
    <row r="53" spans="13:13" x14ac:dyDescent="0.25">
      <c r="M53" t="s">
        <v>310</v>
      </c>
    </row>
    <row r="54" spans="13:13" x14ac:dyDescent="0.25">
      <c r="M54" t="s">
        <v>311</v>
      </c>
    </row>
    <row r="55" spans="13:13" x14ac:dyDescent="0.25">
      <c r="M55" t="s">
        <v>312</v>
      </c>
    </row>
    <row r="56" spans="13:13" x14ac:dyDescent="0.25">
      <c r="M56" t="s">
        <v>313</v>
      </c>
    </row>
    <row r="57" spans="13:13" x14ac:dyDescent="0.25">
      <c r="M57" t="s">
        <v>314</v>
      </c>
    </row>
    <row r="58" spans="13:13" x14ac:dyDescent="0.25">
      <c r="M58" t="s">
        <v>315</v>
      </c>
    </row>
    <row r="59" spans="13:13" x14ac:dyDescent="0.25">
      <c r="M59" t="s">
        <v>316</v>
      </c>
    </row>
    <row r="60" spans="13:13" x14ac:dyDescent="0.25">
      <c r="M60" t="s">
        <v>317</v>
      </c>
    </row>
    <row r="61" spans="13:13" x14ac:dyDescent="0.25">
      <c r="M61" t="s">
        <v>318</v>
      </c>
    </row>
    <row r="62" spans="13:13" x14ac:dyDescent="0.25">
      <c r="M62" t="s">
        <v>319</v>
      </c>
    </row>
    <row r="63" spans="13:13" x14ac:dyDescent="0.25">
      <c r="M63" t="s">
        <v>320</v>
      </c>
    </row>
    <row r="64" spans="13:13" x14ac:dyDescent="0.25">
      <c r="M64" t="s">
        <v>321</v>
      </c>
    </row>
    <row r="65" spans="13:13" x14ac:dyDescent="0.25">
      <c r="M65" t="s">
        <v>322</v>
      </c>
    </row>
    <row r="66" spans="13:13" x14ac:dyDescent="0.25">
      <c r="M66" t="s">
        <v>323</v>
      </c>
    </row>
    <row r="67" spans="13:13" x14ac:dyDescent="0.25">
      <c r="M67" t="s">
        <v>324</v>
      </c>
    </row>
    <row r="68" spans="13:13" x14ac:dyDescent="0.25">
      <c r="M68" t="s">
        <v>325</v>
      </c>
    </row>
    <row r="69" spans="13:13" x14ac:dyDescent="0.25">
      <c r="M69" t="s">
        <v>326</v>
      </c>
    </row>
    <row r="70" spans="13:13" x14ac:dyDescent="0.25">
      <c r="M70" t="s">
        <v>327</v>
      </c>
    </row>
    <row r="71" spans="13:13" x14ac:dyDescent="0.25">
      <c r="M71" t="s">
        <v>328</v>
      </c>
    </row>
    <row r="72" spans="13:13" x14ac:dyDescent="0.25">
      <c r="M72" t="s">
        <v>329</v>
      </c>
    </row>
    <row r="73" spans="13:13" x14ac:dyDescent="0.25">
      <c r="M73" t="s">
        <v>330</v>
      </c>
    </row>
    <row r="74" spans="13:13" x14ac:dyDescent="0.25">
      <c r="M74" t="s">
        <v>331</v>
      </c>
    </row>
    <row r="75" spans="13:13" x14ac:dyDescent="0.25">
      <c r="M75" t="s">
        <v>332</v>
      </c>
    </row>
    <row r="76" spans="13:13" x14ac:dyDescent="0.25">
      <c r="M76" t="s">
        <v>333</v>
      </c>
    </row>
    <row r="77" spans="13:13" x14ac:dyDescent="0.25">
      <c r="M77" t="s">
        <v>334</v>
      </c>
    </row>
    <row r="78" spans="13:13" x14ac:dyDescent="0.25">
      <c r="M78" t="s">
        <v>335</v>
      </c>
    </row>
    <row r="79" spans="13:13" x14ac:dyDescent="0.25">
      <c r="M79" t="s">
        <v>336</v>
      </c>
    </row>
    <row r="80" spans="13:13" x14ac:dyDescent="0.25">
      <c r="M80" t="s">
        <v>337</v>
      </c>
    </row>
    <row r="81" spans="13:13" x14ac:dyDescent="0.25">
      <c r="M81" t="s">
        <v>337</v>
      </c>
    </row>
    <row r="82" spans="13:13" x14ac:dyDescent="0.25">
      <c r="M82" t="s">
        <v>338</v>
      </c>
    </row>
    <row r="83" spans="13:13" x14ac:dyDescent="0.25">
      <c r="M83" t="s">
        <v>332</v>
      </c>
    </row>
    <row r="84" spans="13:13" x14ac:dyDescent="0.25">
      <c r="M84" t="s">
        <v>326</v>
      </c>
    </row>
    <row r="85" spans="13:13" x14ac:dyDescent="0.25">
      <c r="M85" t="s">
        <v>320</v>
      </c>
    </row>
    <row r="86" spans="13:13" x14ac:dyDescent="0.25">
      <c r="M86" t="s">
        <v>314</v>
      </c>
    </row>
    <row r="87" spans="13:13" x14ac:dyDescent="0.25">
      <c r="M87" t="s">
        <v>308</v>
      </c>
    </row>
    <row r="88" spans="13:13" x14ac:dyDescent="0.25">
      <c r="M88" t="s">
        <v>302</v>
      </c>
    </row>
    <row r="89" spans="13:13" x14ac:dyDescent="0.25">
      <c r="M89" t="s">
        <v>296</v>
      </c>
    </row>
    <row r="90" spans="13:13" x14ac:dyDescent="0.25">
      <c r="M90" t="s">
        <v>284</v>
      </c>
    </row>
    <row r="91" spans="13:13" x14ac:dyDescent="0.25">
      <c r="M91" t="s">
        <v>272</v>
      </c>
    </row>
    <row r="92" spans="13:13" x14ac:dyDescent="0.25">
      <c r="M92" t="s">
        <v>339</v>
      </c>
    </row>
    <row r="93" spans="13:13" x14ac:dyDescent="0.25">
      <c r="M93" t="s">
        <v>271</v>
      </c>
    </row>
    <row r="94" spans="13:13" x14ac:dyDescent="0.25">
      <c r="M94" t="s">
        <v>340</v>
      </c>
    </row>
    <row r="95" spans="13:13" x14ac:dyDescent="0.25">
      <c r="M95" t="s">
        <v>340</v>
      </c>
    </row>
    <row r="96" spans="13:13" x14ac:dyDescent="0.25">
      <c r="M96" t="s">
        <v>340</v>
      </c>
    </row>
    <row r="97" spans="13:13" x14ac:dyDescent="0.25">
      <c r="M97" t="s">
        <v>340</v>
      </c>
    </row>
    <row r="98" spans="13:13" x14ac:dyDescent="0.25">
      <c r="M98" t="s">
        <v>340</v>
      </c>
    </row>
    <row r="99" spans="13:13" x14ac:dyDescent="0.25">
      <c r="M99" t="s">
        <v>340</v>
      </c>
    </row>
    <row r="100" spans="13:13" x14ac:dyDescent="0.25">
      <c r="M100" t="s">
        <v>340</v>
      </c>
    </row>
    <row r="101" spans="13:13" x14ac:dyDescent="0.25">
      <c r="M101" t="s">
        <v>340</v>
      </c>
    </row>
    <row r="102" spans="13:13" x14ac:dyDescent="0.25">
      <c r="M102" t="s">
        <v>340</v>
      </c>
    </row>
    <row r="103" spans="13:13" x14ac:dyDescent="0.25">
      <c r="M103" t="s">
        <v>340</v>
      </c>
    </row>
    <row r="104" spans="13:13" x14ac:dyDescent="0.25">
      <c r="M104" t="s">
        <v>340</v>
      </c>
    </row>
    <row r="105" spans="13:13" x14ac:dyDescent="0.25">
      <c r="M105" t="s">
        <v>340</v>
      </c>
    </row>
    <row r="106" spans="13:13" x14ac:dyDescent="0.25">
      <c r="M106" t="s">
        <v>341</v>
      </c>
    </row>
    <row r="107" spans="13:13" x14ac:dyDescent="0.25">
      <c r="M107" t="s">
        <v>342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201</vt:i4>
      </vt:variant>
    </vt:vector>
  </HeadingPairs>
  <TitlesOfParts>
    <vt:vector size="207" baseType="lpstr">
      <vt:lpstr>Унифлок</vt:lpstr>
      <vt:lpstr>PVT</vt:lpstr>
      <vt:lpstr>Конструкция фонтан</vt:lpstr>
      <vt:lpstr>УЭЦН</vt:lpstr>
      <vt:lpstr>Скважина_расчет</vt:lpstr>
      <vt:lpstr>Лист1</vt:lpstr>
      <vt:lpstr>a1a1</vt:lpstr>
      <vt:lpstr>betta_fric_</vt:lpstr>
      <vt:lpstr>betta_grav_</vt:lpstr>
      <vt:lpstr>bo_list1_</vt:lpstr>
      <vt:lpstr>bo_list2_</vt:lpstr>
      <vt:lpstr>bo_list3_</vt:lpstr>
      <vt:lpstr>PVT!Bob_m3m3_</vt:lpstr>
      <vt:lpstr>cable_dPower_out</vt:lpstr>
      <vt:lpstr>calc_with_emulsion</vt:lpstr>
      <vt:lpstr>cor_Emulsion</vt:lpstr>
      <vt:lpstr>correlation_MF_fontan_</vt:lpstr>
      <vt:lpstr>correlation_PVT_fontan_</vt:lpstr>
      <vt:lpstr>correlation_T_fontan_</vt:lpstr>
      <vt:lpstr>cos_phi_</vt:lpstr>
      <vt:lpstr>dcas_arr_mm_</vt:lpstr>
      <vt:lpstr>dcas_mm_</vt:lpstr>
      <vt:lpstr>dcas_out_mm_</vt:lpstr>
      <vt:lpstr>dchoke_mm_</vt:lpstr>
      <vt:lpstr>dPower_CS_out</vt:lpstr>
      <vt:lpstr>dPower_GasSep_out</vt:lpstr>
      <vt:lpstr>dPower_protector_out</vt:lpstr>
      <vt:lpstr>dPower_transform_out</vt:lpstr>
      <vt:lpstr>dtub_arr_mm_</vt:lpstr>
      <vt:lpstr>dtub_mm_</vt:lpstr>
      <vt:lpstr>dtub_out_mm_</vt:lpstr>
      <vt:lpstr>eff_list_dp_</vt:lpstr>
      <vt:lpstr>eff_list_dp_bigger</vt:lpstr>
      <vt:lpstr>eff_list_dp_smaller</vt:lpstr>
      <vt:lpstr>eff_rp_list_</vt:lpstr>
      <vt:lpstr>eff_rp_list_bigger</vt:lpstr>
      <vt:lpstr>eff_rp_list_smaller</vt:lpstr>
      <vt:lpstr>EffESP_out_d</vt:lpstr>
      <vt:lpstr>efficency_ESP_total_out_d</vt:lpstr>
      <vt:lpstr>ESP_eff_list_</vt:lpstr>
      <vt:lpstr>ESP_eff_list_mu_bigger</vt:lpstr>
      <vt:lpstr>ESP_eff_list_mu_smaller</vt:lpstr>
      <vt:lpstr>ESP_freq_</vt:lpstr>
      <vt:lpstr>ESP_head_list_</vt:lpstr>
      <vt:lpstr>ESP_head_list_mu_bigger</vt:lpstr>
      <vt:lpstr>ESP_head_list_mu_smaller</vt:lpstr>
      <vt:lpstr>ESP_head_nom_</vt:lpstr>
      <vt:lpstr>ESP_ID_</vt:lpstr>
      <vt:lpstr>ESP_list_dP</vt:lpstr>
      <vt:lpstr>ESP_list_dP_bigger</vt:lpstr>
      <vt:lpstr>ESP_list_dP_smaller</vt:lpstr>
      <vt:lpstr>ESP_name_</vt:lpstr>
      <vt:lpstr>ESP_power_list_</vt:lpstr>
      <vt:lpstr>ESP_power_list_mu_bigger</vt:lpstr>
      <vt:lpstr>ESP_power_list_mu_smaller</vt:lpstr>
      <vt:lpstr>ESP_qmax_</vt:lpstr>
      <vt:lpstr>ESP_rate_list_</vt:lpstr>
      <vt:lpstr>ESP_rate_nom_</vt:lpstr>
      <vt:lpstr>ESP_stages_</vt:lpstr>
      <vt:lpstr>УЭЦН!Freq_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УЭЦН!Head_ESP_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Скважина_расчет!hmes_tamb_out_m_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Скважина_расчет!hvert_tamb_out_m_</vt:lpstr>
      <vt:lpstr>HydrCorr_</vt:lpstr>
      <vt:lpstr>HydrCorr_selector_</vt:lpstr>
      <vt:lpstr>I_out_A</vt:lpstr>
      <vt:lpstr>kek</vt:lpstr>
      <vt:lpstr>kekspeks</vt:lpstr>
      <vt:lpstr>PVT!Ksep_</vt:lpstr>
      <vt:lpstr>Load_fr_out</vt:lpstr>
      <vt:lpstr>motor_eff_fr_</vt:lpstr>
      <vt:lpstr>PVT!mu_cP_</vt:lpstr>
      <vt:lpstr>mu_cP_mix</vt:lpstr>
      <vt:lpstr>mu_cP_mix_</vt:lpstr>
      <vt:lpstr>mu_cSt</vt:lpstr>
      <vt:lpstr>mu_cSt_bigger</vt:lpstr>
      <vt:lpstr>mu_cSt_smaller</vt:lpstr>
      <vt:lpstr>mu_multiply</vt:lpstr>
      <vt:lpstr>MuMix_hmes_</vt:lpstr>
      <vt:lpstr>MuMix_out_cP_</vt:lpstr>
      <vt:lpstr>muo_list1_</vt:lpstr>
      <vt:lpstr>muo_list2_</vt:lpstr>
      <vt:lpstr>muo_list3_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PVT!P_atma_</vt:lpstr>
      <vt:lpstr>P_dis_atma</vt:lpstr>
      <vt:lpstr>P_mes_atma_</vt:lpstr>
      <vt:lpstr>p_PowerESP_out_Wt</vt:lpstr>
      <vt:lpstr>p_PressureDegradation_</vt:lpstr>
      <vt:lpstr>p_RateDegradation_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Pdis_atma</vt:lpstr>
      <vt:lpstr>Pint_atma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Power_CS_out</vt:lpstr>
      <vt:lpstr>power_degr_fr_</vt:lpstr>
      <vt:lpstr>power_in_cable_out</vt:lpstr>
      <vt:lpstr>Power_Motor_nom_</vt:lpstr>
      <vt:lpstr>Power_motor_nom_kWt_</vt:lpstr>
      <vt:lpstr>Power_motor_out</vt:lpstr>
      <vt:lpstr>power_rp_list_</vt:lpstr>
      <vt:lpstr>power_rp_list_bigger</vt:lpstr>
      <vt:lpstr>power_rp_list_smaller</vt:lpstr>
      <vt:lpstr>Power_shaft_out</vt:lpstr>
      <vt:lpstr>PowerFliud_out_</vt:lpstr>
      <vt:lpstr>press_list0_</vt:lpstr>
      <vt:lpstr>press_list1_</vt:lpstr>
      <vt:lpstr>PVT!Psc_atma_</vt:lpstr>
      <vt:lpstr>PVT!Psep_atma_</vt:lpstr>
      <vt:lpstr>pts_</vt:lpstr>
      <vt:lpstr>УЭЦН!PumpID_</vt:lpstr>
      <vt:lpstr>PVT!PVT_correlation_</vt:lpstr>
      <vt:lpstr>PVT_selector_</vt:lpstr>
      <vt:lpstr>Pwf_atma_</vt:lpstr>
      <vt:lpstr>Pwf_out_atma_</vt:lpstr>
      <vt:lpstr>УЭЦН!Q_ESP_</vt:lpstr>
      <vt:lpstr>PVT!Ql_scm3day_</vt:lpstr>
      <vt:lpstr>Скважина_расчет!Ql_scm3day_</vt:lpstr>
      <vt:lpstr>PVT!Qo_sctday_</vt:lpstr>
      <vt:lpstr>rhoo_list1_</vt:lpstr>
      <vt:lpstr>rhoo_list2_</vt:lpstr>
      <vt:lpstr>rhoo_list3_</vt:lpstr>
      <vt:lpstr>PVT!Rp_m3m3_</vt:lpstr>
      <vt:lpstr>Скважина_расчет!Rp_m3m3_</vt:lpstr>
      <vt:lpstr>Rp_m3m3_bigger</vt:lpstr>
      <vt:lpstr>Rp_m3m3_smaller</vt:lpstr>
      <vt:lpstr>rp_multiply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Скважина_расчет!tamb_out_C_</vt:lpstr>
      <vt:lpstr>tamb_out_C_</vt:lpstr>
      <vt:lpstr>Tbh_c_</vt:lpstr>
      <vt:lpstr>Tbuf_out_C_</vt:lpstr>
      <vt:lpstr>Tdis_C</vt:lpstr>
      <vt:lpstr>Tint_C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viscosity</vt:lpstr>
      <vt:lpstr>PVT!wc_perc_</vt:lpstr>
      <vt:lpstr>Скважина_расчет!wc_perc_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Олег Кобзарь</cp:lastModifiedBy>
  <dcterms:created xsi:type="dcterms:W3CDTF">2018-04-24T09:42:46Z</dcterms:created>
  <dcterms:modified xsi:type="dcterms:W3CDTF">2019-05-26T22:01:11Z</dcterms:modified>
</cp:coreProperties>
</file>