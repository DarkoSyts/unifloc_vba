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gk\Documents\unifloc_vba\stuff_to_merge\"/>
    </mc:Choice>
  </mc:AlternateContent>
  <xr:revisionPtr revIDLastSave="0" documentId="13_ncr:1_{DA773A9D-3201-4A00-98A4-6A394F3C9DAD}" xr6:coauthVersionLast="43" xr6:coauthVersionMax="43" xr10:uidLastSave="{00000000-0000-0000-0000-000000000000}"/>
  <bookViews>
    <workbookView xWindow="-120" yWindow="-120" windowWidth="24240" windowHeight="1314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a1a1">УЭЦН!$B$17</definedName>
    <definedName name="betta_fric_">Скважина_расчет!$H$8</definedName>
    <definedName name="betta_grav_">Скважина_расчет!$H$7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able_dPower_out">Скважина_расчет!$Z$11</definedName>
    <definedName name="calc_with_emulsion">Скважина_расчет!$N$1</definedName>
    <definedName name="cor_Emulsion">Скважина_расчет!$T$8</definedName>
    <definedName name="correlation_MF_fontan_">Скважина_расчет!$J$3</definedName>
    <definedName name="correlation_PVT_fontan_">Скважина_расчет!$E$3</definedName>
    <definedName name="correlation_T_fontan_">Скважина_расчет!$N$3</definedName>
    <definedName name="cos_phi_">Скважина_расчет!$W$8</definedName>
    <definedName name="dcas_arr_mm_">'Конструкция фонтан'!$I$19:$I$38</definedName>
    <definedName name="dcas_mm_">'Конструкция фонтан'!$H$5</definedName>
    <definedName name="dcas_out_mm_">'Конструкция фонтан'!$V$18:$V$38</definedName>
    <definedName name="dchoke_mm_">'Конструкция фонтан'!$C$13</definedName>
    <definedName name="dPower_CS_out">Скважина_расчет!$Z$14</definedName>
    <definedName name="dPower_GasSep_out">Скважина_расчет!$Z$8</definedName>
    <definedName name="dPower_protector_out">Скважина_расчет!$Z$7</definedName>
    <definedName name="dPower_transform_out">Скважина_расчет!$Z$13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ff_list_dp_">УЭЦН!$AA$8:$AA$29</definedName>
    <definedName name="eff_list_dp_bigger">УЭЦН!$AC$8:$AC$29</definedName>
    <definedName name="eff_list_dp_smaller">УЭЦН!$AB$8:$AB$29</definedName>
    <definedName name="eff_rp_list_">УЭЦН!$U$8:$U$29</definedName>
    <definedName name="eff_rp_list_bigger">УЭЦН!$W$8:$W$29</definedName>
    <definedName name="eff_rp_list_smaller">УЭЦН!$V$8:$V$29</definedName>
    <definedName name="EffESP_out_d">Скважина_расчет!$W$11</definedName>
    <definedName name="efficency_ESP_total_out_d">Скважина_расчет!$W$12</definedName>
    <definedName name="ESP_eff_list_">УЭЦН!$K$8:$K$29</definedName>
    <definedName name="ESP_eff_list_mu_bigger">УЭЦН!$N$8:$N$29</definedName>
    <definedName name="ESP_eff_list_mu_smaller">УЭЦН!$Q$8:$Q$29</definedName>
    <definedName name="ESP_freq_">УЭЦН!$C$6</definedName>
    <definedName name="ESP_head_list_">УЭЦН!$I$8:$I$29</definedName>
    <definedName name="ESP_head_list_mu_bigger">УЭЦН!$L$8:$L$29</definedName>
    <definedName name="ESP_head_list_mu_smaller">УЭЦН!$O$8:$O$29</definedName>
    <definedName name="ESP_head_nom_">УЭЦН!$C$5</definedName>
    <definedName name="ESP_ID_">УЭЦН!$C$7</definedName>
    <definedName name="ESP_list_dP">УЭЦН!$R$8:$R$29</definedName>
    <definedName name="ESP_list_dP_bigger">УЭЦН!$T$8:$T$29</definedName>
    <definedName name="ESP_list_dP_smaller">УЭЦН!$S$8:$S$29</definedName>
    <definedName name="ESP_name_">УЭЦН!$C$8</definedName>
    <definedName name="ESP_power_list_">УЭЦН!$J$8:$J$29</definedName>
    <definedName name="ESP_power_list_mu_bigger">УЭЦН!$M$8:$M$29</definedName>
    <definedName name="ESP_power_list_mu_smaller">УЭЦН!$P$8:$P$29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Скважина_расчет!$S$17:$S$37</definedName>
    <definedName name="Hlout_hmes_m_">Скважина_расчет!$R$17:$R$37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Скважина_расчет!$C$18:$C$354</definedName>
    <definedName name="hmes_out_">Скважина_расчет!$H$17:$H$37</definedName>
    <definedName name="hmes_tamb_m_">'Конструкция фонтан'!$E$19:$E$38</definedName>
    <definedName name="hmes_tamb_out_m_" localSheetId="4">Скважина_расчет!$K$17:$K$37</definedName>
    <definedName name="hmes_tamb_out_m_">'Конструкция фонтан'!$S$18:$S$38</definedName>
    <definedName name="Hout_">Скважина_расчет!$N$18:$N$37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Скважина_расчет!$L$17:$L$37</definedName>
    <definedName name="HydrCorr_">Скважина_расчет!$AA$7</definedName>
    <definedName name="HydrCorr_selector_">Скважина_расчет!$AO$4</definedName>
    <definedName name="I_out_A">Скважина_расчет!$W$13</definedName>
    <definedName name="kek">УЭЦН!$U$8:$Y$29</definedName>
    <definedName name="kekspeks">УЭЦН!$U$8:$Z$29</definedName>
    <definedName name="Ksep_" localSheetId="1">PVT!$O$8</definedName>
    <definedName name="Load_fr_out">Скважина_расчет!$W$14</definedName>
    <definedName name="motor_eff_fr_">Скважина_расчет!$W$4</definedName>
    <definedName name="mu_cP_" localSheetId="1">PVT!$G$17</definedName>
    <definedName name="mu_cP_mix">PVT!$C$45</definedName>
    <definedName name="mu_cP_mix_">PVT!$C$45</definedName>
    <definedName name="mu_cSt">PVT!$C$50</definedName>
    <definedName name="mu_cSt_bigger">УЭЦН!$L$6</definedName>
    <definedName name="mu_cSt_smaller">УЭЦН!$O$6</definedName>
    <definedName name="MuMix_hmes_">Скважина_расчет!$Y$17:$Y$37</definedName>
    <definedName name="MuMix_out_cP_">Скважина_расчет!$T$17:$T$37</definedName>
    <definedName name="muo_list1_">PVT!$M$59:$M$99</definedName>
    <definedName name="muo_list2_">PVT!$N$59:$N$99</definedName>
    <definedName name="muo_list3_">PVT!$O$59:$O$99</definedName>
    <definedName name="out_1">Скважина_расчет!$AA$60:$AA$101</definedName>
    <definedName name="out_2">Скважина_расчет!$AB$60:$AB$101</definedName>
    <definedName name="out_3">Скважина_расчет!$AC$60:$AC$101</definedName>
    <definedName name="out_4">Скважина_расчет!$AD$60:$AD$101</definedName>
    <definedName name="out_5">Скважина_расчет!$AE$60:$AE$101</definedName>
    <definedName name="out_6">Скважина_расчет!$AF$60:$AF$101</definedName>
    <definedName name="out_7">Скважина_расчет!$AG$60:$AG$101</definedName>
    <definedName name="out_8">Скважина_расчет!$AH$60:$AH$101</definedName>
    <definedName name="out_9">Скважина_расчет!$AI$60:$AI$101</definedName>
    <definedName name="P_atma_" localSheetId="1">PVT!$C$8</definedName>
    <definedName name="P_dis_atma">Скважина_расчет!$Q$14</definedName>
    <definedName name="P_mes_atma_">Скважина_расчет!$D$18:$D$354</definedName>
    <definedName name="p_PowerESP_out_Wt">Скважина_расчет!$Z$5</definedName>
    <definedName name="p_PressureDegradation_">Скважина_расчет!$T$5</definedName>
    <definedName name="p_RateDegradation_">Скважина_расчет!$T$6</definedName>
    <definedName name="Pb_atma_" localSheetId="1">PVT!$G$15</definedName>
    <definedName name="Pb_diff_">PVT!$W$33</definedName>
    <definedName name="Pbuf_atma_">Скважина_расчет!$Q$7</definedName>
    <definedName name="Pbuf_out_atma_">Скважина_расчет!$Q$12</definedName>
    <definedName name="Pcas_atma_">Скважина_расчет!$Q$9</definedName>
    <definedName name="Pcas_hmes_">Скважина_расчет!$W$17:$W$37</definedName>
    <definedName name="Pcas_out_atma_">Скважина_расчет!$X$17:$X$37</definedName>
    <definedName name="Pdis_atma">Скважина_расчет!$Q$14</definedName>
    <definedName name="Pint_atma">Скважина_расчет!$Q$15</definedName>
    <definedName name="Plin_mes_atma_">Скважина_расчет!$D$17</definedName>
    <definedName name="Pline_atma_">Скважина_расчет!$Q$6</definedName>
    <definedName name="Pline_out_atma_">Скважина_расчет!$Q$11</definedName>
    <definedName name="pmes_out_">Скважина_расчет!$I$17:$I$37</definedName>
    <definedName name="Pout_">Скважина_расчет!$O$18:$O$37</definedName>
    <definedName name="Pout_atma_">Скважина_расчет!$O$17:$O$37</definedName>
    <definedName name="Pout_hmes_m_">Скважина_расчет!$N$17:$N$37</definedName>
    <definedName name="Power_CS_out">Скважина_расчет!$Z$15</definedName>
    <definedName name="power_degr_fr_">Скважина_расчет!$T$7</definedName>
    <definedName name="power_in_cable_out">Скважина_расчет!$Z$12</definedName>
    <definedName name="Power_motor_nom_kWt_">УЭЦН!$C$3</definedName>
    <definedName name="Power_motor_out">Скважина_расчет!$Z$10</definedName>
    <definedName name="power_rp_list_">УЭЦН!$X$8:$X$29</definedName>
    <definedName name="power_rp_list_bigger">УЭЦН!$Z$8:$Z$29</definedName>
    <definedName name="power_rp_list_smaller">УЭЦН!$Y$8:$Y$29</definedName>
    <definedName name="Power_shaft_out">Скважина_расчет!$Z$9</definedName>
    <definedName name="PowerFliud_out_">Скважина_расчет!$Z$6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Скважина_расчет!$AK$4</definedName>
    <definedName name="Pwf_atma_">Скважина_расчет!$Q$8</definedName>
    <definedName name="Pwf_out_atma_">Скважина_расчет!$Q$13</definedName>
    <definedName name="Q_ESP_" localSheetId="3">УЭЦН!$C$32</definedName>
    <definedName name="Ql_scm3day_" localSheetId="1">PVT!$K$8</definedName>
    <definedName name="Ql_scm3day_" localSheetId="4">Скважина_расчет!$C$7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Скважина_расчет!$C$10</definedName>
    <definedName name="Rp_m3m3_bigger">УЭЦН!$T$6</definedName>
    <definedName name="Rp_m3m3_smaller">УЭЦН!$S$6</definedName>
    <definedName name="rp_multiply">УЭЦН!$C$12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Скважина_расчет!$E$18:$E$354</definedName>
    <definedName name="tamb_C_">'Конструкция фонтан'!$F$19:$F$38</definedName>
    <definedName name="tamb_out_C_" localSheetId="4">Скважина_расчет!$M$17:$M$37</definedName>
    <definedName name="tamb_out_C_">'Конструкция фонтан'!$T$18:$T$38</definedName>
    <definedName name="Tbh_c_">Скважина_расчет!$M$7</definedName>
    <definedName name="Tbuf_out_C_">Скважина_расчет!$T$12</definedName>
    <definedName name="Tdis_C">Скважина_расчет!$T$14</definedName>
    <definedName name="Tint_C">Скважина_расчет!$T$15</definedName>
    <definedName name="Tlin_mes_C_">Скважина_расчет!$E$17</definedName>
    <definedName name="Tline_out_C_">Скважина_расчет!$T$11</definedName>
    <definedName name="tmes_out_">Скважина_расчет!$J$17:$J$37</definedName>
    <definedName name="Tout_C_">Скважина_расчет!$Q$17:$Q$37</definedName>
    <definedName name="Tout_hmes_m_">Скважина_расчет!$P$17:$P$37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Скважина_расчет!$T$13</definedName>
    <definedName name="Twh_C_">Скважина_расчет!$M$8</definedName>
    <definedName name="U_V_">Скважина_расчет!$W$10</definedName>
    <definedName name="udl_out_m_">'Конструкция фонтан'!$R$18:$R$38</definedName>
    <definedName name="viscosity">УЭЦН!$C$20</definedName>
    <definedName name="wc_perc_" localSheetId="1">PVT!$K$9</definedName>
    <definedName name="wc_perc_" localSheetId="4">Скважина_расчет!$C$8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" i="7" l="1"/>
  <c r="N7" i="7"/>
  <c r="L7" i="7"/>
  <c r="R6" i="7"/>
  <c r="N1" i="2"/>
  <c r="N3" i="2"/>
  <c r="M40" i="4"/>
  <c r="C45" i="4"/>
  <c r="C43" i="4"/>
  <c r="C7" i="7"/>
  <c r="M37" i="4"/>
  <c r="M33" i="4"/>
  <c r="I35" i="4"/>
  <c r="C44" i="4"/>
  <c r="C49" i="4"/>
  <c r="M32" i="4"/>
  <c r="E34" i="4"/>
  <c r="B4" i="8"/>
  <c r="C9" i="7"/>
  <c r="G23" i="4"/>
  <c r="T33" i="4"/>
  <c r="M35" i="4"/>
  <c r="I37" i="4"/>
  <c r="I33" i="4"/>
  <c r="C40" i="4"/>
  <c r="C36" i="4"/>
  <c r="C34" i="4"/>
  <c r="C32" i="4"/>
  <c r="C23" i="4"/>
  <c r="B3" i="8"/>
  <c r="C8" i="7"/>
  <c r="M34" i="4"/>
  <c r="I36" i="4"/>
  <c r="I32" i="4"/>
  <c r="E37" i="4"/>
  <c r="E35" i="4"/>
  <c r="E33" i="4"/>
  <c r="C28" i="4"/>
  <c r="C37" i="4"/>
  <c r="C35" i="4"/>
  <c r="C33" i="4"/>
  <c r="B5" i="8"/>
  <c r="B8" i="8" s="1" a="1"/>
  <c r="C10" i="7"/>
  <c r="V35" i="4"/>
  <c r="V33" i="4"/>
  <c r="M36" i="4"/>
  <c r="I34" i="4"/>
  <c r="E36" i="4"/>
  <c r="E32" i="4"/>
  <c r="C26" i="4"/>
  <c r="S1539" i="2"/>
  <c r="T34" i="4"/>
  <c r="T36" i="4"/>
  <c r="T35" i="4"/>
  <c r="C27" i="4"/>
  <c r="V34" i="4"/>
  <c r="V36" i="4"/>
  <c r="E8" i="8" l="1"/>
  <c r="I8" i="8"/>
  <c r="E9" i="8"/>
  <c r="I9" i="8"/>
  <c r="E10" i="8"/>
  <c r="I10" i="8"/>
  <c r="C8" i="8"/>
  <c r="G8" i="8"/>
  <c r="C9" i="8"/>
  <c r="G9" i="8"/>
  <c r="C10" i="8"/>
  <c r="G10" i="8"/>
  <c r="D8" i="8"/>
  <c r="H8" i="8"/>
  <c r="D9" i="8"/>
  <c r="H9" i="8"/>
  <c r="D10" i="8"/>
  <c r="H10" i="8"/>
  <c r="B8" i="8"/>
  <c r="F8" i="8"/>
  <c r="B9" i="8"/>
  <c r="F9" i="8"/>
  <c r="B10" i="8"/>
  <c r="F10" i="8"/>
  <c r="W14" i="2" l="1"/>
  <c r="T10" i="2" l="1"/>
  <c r="AC11" i="2" l="1"/>
  <c r="AC10" i="2" l="1"/>
  <c r="AC9" i="2"/>
  <c r="AC8" i="2"/>
  <c r="AC7" i="2"/>
  <c r="AC6" i="2"/>
  <c r="AC5" i="2"/>
  <c r="Q10" i="2"/>
  <c r="AC12" i="2" l="1"/>
  <c r="D149" i="3"/>
  <c r="W6" i="2" l="1"/>
  <c r="E3" i="2" l="1"/>
  <c r="V6" i="7" l="1"/>
  <c r="Y6" i="7" s="1"/>
  <c r="W6" i="7"/>
  <c r="Z6" i="7" s="1"/>
  <c r="U6" i="7" l="1"/>
  <c r="X6" i="7" s="1"/>
  <c r="C16" i="7" l="1"/>
  <c r="C50" i="4" l="1"/>
  <c r="U19" i="2"/>
  <c r="V19" i="2"/>
  <c r="V18" i="2"/>
  <c r="V17" i="2"/>
  <c r="A4" i="6"/>
  <c r="A1" i="6"/>
  <c r="AA36" i="4"/>
  <c r="AA35" i="4"/>
  <c r="AB36" i="4"/>
  <c r="AB35" i="4"/>
  <c r="W38" i="4"/>
  <c r="W37" i="4"/>
  <c r="A2" i="2" l="1"/>
  <c r="A1" i="7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A1" i="4"/>
  <c r="A1" i="3"/>
  <c r="C11" i="2"/>
  <c r="J3" i="2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AB32" i="4" l="1"/>
  <c r="W34" i="4"/>
  <c r="AB33" i="4" s="1"/>
  <c r="W35" i="4"/>
  <c r="AB38" i="4" s="1"/>
  <c r="W36" i="4"/>
  <c r="AB34" i="4" s="1"/>
  <c r="U36" i="4"/>
  <c r="AA34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</authors>
  <commentList>
    <comment ref="R4" authorId="0" shapeId="0" xr:uid="{E9DB1DCF-E0EB-4F75-B841-23A849306BD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Начальный ГФ берется с листа PVT, и затем делится / умножается на множитель для ГФ.</t>
        </r>
      </text>
    </comment>
    <comment ref="I6" authorId="0" shapeId="0" xr:uid="{899BEC8D-0684-43B9-993A-4F2E510B7D9B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Все характеристики для указанной частоты</t>
        </r>
      </text>
    </comment>
    <comment ref="L6" authorId="0" shapeId="0" xr:uid="{3316B8D8-3815-449C-97CD-60129A721AF2}">
      <text>
        <r>
          <rPr>
            <b/>
            <sz val="9"/>
            <color indexed="81"/>
            <rFont val="Tahoma"/>
            <family val="2"/>
            <charset val="204"/>
          </rPr>
          <t>Олег Кобзарь:
Построенные характеристики с учетом поправки на вязкость Института Гидравлики.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  <author>Ринат Хабибуллин</author>
  </authors>
  <commentList>
    <comment ref="T5" authorId="0" shapeId="0" xr:uid="{6B41A093-6B1D-444C-A40E-D26E074254C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перепада давления, развиваемого насосом</t>
        </r>
      </text>
    </comment>
    <comment ref="B6" authorId="1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T6" authorId="0" shapeId="0" xr:uid="{ED37827B-6E0C-493D-A7E1-1FEBADD764F8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подачи, развививаемой насосом</t>
        </r>
      </text>
    </comment>
    <comment ref="Y6" authorId="0" shapeId="0" xr:uid="{0AB313FC-BEFE-4B46-924B-67EEEC61E67C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Передача - мощность, передаваемая на данный элемент
Потребление - мощность, расходуемая на этом элементе</t>
        </r>
      </text>
    </comment>
    <comment ref="C7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7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7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7" authorId="1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T7" authorId="0" shapeId="0" xr:uid="{D71712A0-0315-4403-8061-D21FB080FA5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мощности, потребляемой УЭЦН</t>
        </r>
      </text>
    </comment>
    <comment ref="C8" authorId="1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8" authorId="1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L8" authorId="0" shapeId="0" xr:uid="{74E69A83-8AA2-48CE-9415-4793A4981B2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M8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T8" authorId="0" shapeId="0" xr:uid="{019EECC1-40EA-4790-A37E-C711B5222EB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Корректирующий коэффициент для вязкости эмульсии.</t>
        </r>
      </text>
    </comment>
    <comment ref="C10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1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AD58" authorId="0" shapeId="0" xr:uid="{113562DB-3DCF-4138-B644-901D5C86A28A}">
      <text>
        <r>
          <rPr>
            <b/>
            <sz val="9"/>
            <color indexed="81"/>
            <rFont val="Tahoma"/>
            <family val="2"/>
            <charset val="204"/>
          </rPr>
          <t>Олег Кобзарь:
Потребляемая мощность</t>
        </r>
      </text>
    </comment>
    <comment ref="AE58" authorId="0" shapeId="0" xr:uid="{F7886801-E813-4E7A-A232-866910911D4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Полезная энергия, передаваемая жидкости</t>
        </r>
      </text>
    </comment>
  </commentList>
</comments>
</file>

<file path=xl/sharedStrings.xml><?xml version="1.0" encoding="utf-8"?>
<sst xmlns="http://schemas.openxmlformats.org/spreadsheetml/2006/main" count="534" uniqueCount="357">
  <si>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</si>
  <si>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</si>
  <si>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</si>
  <si>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</si>
  <si>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</si>
  <si>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</si>
  <si>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</si>
  <si>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</si>
  <si>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</si>
  <si>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</si>
  <si>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</si>
  <si>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</si>
  <si>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</si>
  <si>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</si>
  <si>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</si>
  <si>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</si>
  <si>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</si>
  <si>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</si>
  <si>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</si>
  <si>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</si>
  <si>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</si>
  <si>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</si>
  <si>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</si>
  <si>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</si>
  <si>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</si>
  <si>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</si>
  <si>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</si>
  <si>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</si>
  <si>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</si>
  <si>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</si>
  <si>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</si>
  <si>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</si>
  <si>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</si>
  <si>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</si>
  <si>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</si>
  <si>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</si>
  <si>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</si>
  <si>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</si>
  <si>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</si>
  <si>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</si>
  <si>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</si>
  <si>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</si>
  <si>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</si>
  <si>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</si>
  <si>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</si>
  <si>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</si>
  <si>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</si>
  <si>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</si>
  <si>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</si>
  <si>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</si>
  <si>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</si>
  <si>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Замеры давления и температуры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</si>
  <si>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</si>
  <si>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</si>
  <si>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</si>
  <si>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</si>
  <si>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</si>
  <si>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</si>
  <si>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</si>
  <si>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</si>
  <si>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</si>
  <si>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</si>
  <si>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</si>
  <si>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</si>
  <si>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</si>
  <si>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</si>
  <si>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</si>
  <si>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</si>
  <si>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</si>
  <si>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</si>
  <si>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</si>
  <si>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</si>
  <si>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</si>
  <si>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</si>
  <si>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</si>
  <si>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</si>
  <si>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</si>
  <si>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</si>
  <si>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</si>
  <si>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</si>
  <si>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</si>
  <si>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</si>
  <si>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</si>
  <si>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</si>
  <si>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</si>
  <si>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</si>
  <si>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</si>
  <si>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</si>
  <si>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</si>
  <si>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</si>
  <si>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</si>
  <si>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</si>
  <si>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</si>
  <si>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</si>
  <si>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</si>
  <si>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</si>
  <si>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</si>
  <si>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</si>
  <si>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</si>
  <si>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</si>
  <si>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</si>
  <si>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</si>
  <si>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</si>
  <si>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</si>
  <si>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</si>
  <si>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</si>
  <si>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</si>
  <si>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</si>
  <si>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</si>
  <si>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</si>
  <si>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</si>
  <si>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</si>
  <si>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</si>
  <si>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</si>
  <si>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</si>
  <si>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</si>
  <si>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</si>
  <si>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</si>
  <si>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</si>
  <si>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</si>
  <si>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</si>
  <si>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</si>
  <si>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</si>
  <si>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</si>
  <si>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</si>
  <si>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</si>
  <si>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</si>
  <si>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</si>
  <si>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</si>
  <si>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</si>
  <si>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</si>
  <si>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</si>
  <si>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</si>
  <si>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</si>
  <si>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</si>
  <si>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</si>
  <si>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</si>
  <si>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</si>
  <si>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</si>
  <si>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</si>
  <si>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</si>
  <si>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</si>
  <si>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</si>
  <si>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</si>
  <si>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</si>
  <si>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</si>
  <si>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</si>
  <si>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</si>
  <si>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</si>
  <si>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</si>
  <si>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</si>
  <si>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</si>
  <si>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</si>
  <si>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</si>
  <si>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</si>
  <si>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</si>
  <si>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</si>
  <si>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</si>
  <si>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</si>
  <si>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</si>
  <si>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</si>
  <si>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</si>
  <si>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</si>
  <si>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</si>
  <si>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</si>
  <si>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</si>
  <si>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</si>
  <si>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</si>
  <si>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</si>
  <si>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</si>
  <si>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</si>
  <si>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</si>
  <si>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</si>
  <si>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</si>
  <si>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</si>
  <si>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</si>
  <si>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</si>
  <si>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</si>
  <si>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</si>
  <si>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Глубина спуска</t>
  </si>
  <si>
    <t>кВт</t>
  </si>
  <si>
    <t>Дебиты</t>
  </si>
  <si>
    <t>точек</t>
  </si>
  <si>
    <t>Напор</t>
  </si>
  <si>
    <t>Мощность</t>
  </si>
  <si>
    <t>КПД</t>
  </si>
  <si>
    <t>hmes pcas</t>
  </si>
  <si>
    <t>Подписать колонки</t>
  </si>
  <si>
    <t>Пояснение</t>
  </si>
  <si>
    <t>hmes ptub</t>
  </si>
  <si>
    <t>Ptub</t>
  </si>
  <si>
    <t>Ttub</t>
  </si>
  <si>
    <t>Hl</t>
  </si>
  <si>
    <t>Tamb</t>
  </si>
  <si>
    <t>0</t>
  </si>
  <si>
    <t>700</t>
  </si>
  <si>
    <t>839</t>
  </si>
  <si>
    <t>Pпр</t>
  </si>
  <si>
    <t>Кинематическая вязкость</t>
  </si>
  <si>
    <t>сСт</t>
  </si>
  <si>
    <t>единиц</t>
  </si>
  <si>
    <t>dP</t>
  </si>
  <si>
    <r>
      <rPr>
        <sz val="12"/>
        <color theme="1"/>
        <rFont val="Calibri"/>
        <family val="2"/>
        <charset val="204"/>
        <scheme val="minor"/>
      </rPr>
      <t>ν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</si>
  <si>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Множитель для ГФ</t>
  </si>
  <si>
    <t>ГФ, м3/м3</t>
  </si>
  <si>
    <t>Учет эмульсии</t>
  </si>
  <si>
    <t>КПД насоса</t>
  </si>
  <si>
    <t>КПД УЭЦН</t>
  </si>
  <si>
    <t>д.ед.</t>
  </si>
  <si>
    <t>Флюиду (передача)</t>
  </si>
  <si>
    <t>Валу (передача)</t>
  </si>
  <si>
    <t>Кабелю (передача)</t>
  </si>
  <si>
    <t>СУ (передача)</t>
  </si>
  <si>
    <t>A</t>
  </si>
  <si>
    <t>Ток двигателя</t>
  </si>
  <si>
    <t>N ПЭД, ном</t>
  </si>
  <si>
    <t>I ПЭД</t>
  </si>
  <si>
    <t>А</t>
  </si>
  <si>
    <t>Cos ф (ТМ)</t>
  </si>
  <si>
    <t>безразм</t>
  </si>
  <si>
    <t>Загрузка ПЭД</t>
  </si>
  <si>
    <t>Вольт</t>
  </si>
  <si>
    <t>I ПЭД, ном</t>
  </si>
  <si>
    <t>Номинальная мощность ПЭД</t>
  </si>
  <si>
    <t>Энергетические параметры</t>
  </si>
  <si>
    <t>Гидравлические параметры</t>
  </si>
  <si>
    <t>Насосу (передача)</t>
  </si>
  <si>
    <t>U лин ПЭД</t>
  </si>
  <si>
    <t>КПД ПЭД</t>
  </si>
  <si>
    <t>д. ед.</t>
  </si>
  <si>
    <t>muMix</t>
  </si>
  <si>
    <t>GasFraction</t>
  </si>
  <si>
    <t>04.05.2019 : 19:22:10 : debug :  : распределения давления в НКТ</t>
  </si>
  <si>
    <t>04.05.2019 : 19:22:10 : debug :  : False</t>
  </si>
  <si>
    <t>04.05.2019 : 19:22:10 : debug :  : False :  462.698267203284</t>
  </si>
  <si>
    <t>04.05.2019 : 19:22:10 : debug :  : False :  462.446278402818</t>
  </si>
  <si>
    <t>04.05.2019 : 19:22:10 : debug :  : False :  462.319726289669</t>
  </si>
  <si>
    <t>04.05.2019 : 19:22:10 : debug :  : False :  461.938412467704</t>
  </si>
  <si>
    <t>04.05.2019 : 19:22:10 : debug :  : False :  461.425677647182</t>
  </si>
  <si>
    <t>04.05.2019 : 19:22:10 : debug :  : False :  461.58643739866</t>
  </si>
  <si>
    <t>04.05.2019 : 19:22:10 : debug :  : False :  461.425679176171</t>
  </si>
  <si>
    <t>04.05.2019 : 19:22:10 : debug :  : False :  460.908271268761</t>
  </si>
  <si>
    <t>04.05.2019 : 19:22:10 : debug :  : False :  460.647340033346</t>
  </si>
  <si>
    <t>04.05.2019 : 19:22:10 : debug :  : False :  459.85792738</t>
  </si>
  <si>
    <t>04.05.2019 : 19:22:10 : debug :  : False :  458.788133123634</t>
  </si>
  <si>
    <t>04.05.2019 : 19:22:10 : debug :  : False :  459.124562084933</t>
  </si>
  <si>
    <t>04.05.2019 : 19:22:10 : debug :  : False :  458.7881452323</t>
  </si>
  <si>
    <t>04.05.2019 : 19:22:10 : debug :  : False :  457.148878676735</t>
  </si>
  <si>
    <t>04.05.2019 : 19:22:10 : debug :  : False :  456.201231127287</t>
  </si>
  <si>
    <t>04.05.2019 : 19:22:10 : debug :  : False :  453.29168353395</t>
  </si>
  <si>
    <t>04.05.2019 : 19:22:10 : debug :  : False :  447.987182176243</t>
  </si>
  <si>
    <t>04.05.2019 : 19:22:10 : debug :  : False :  450.011736402208</t>
  </si>
  <si>
    <t>04.05.2019 : 19:22:10 : debug :  : False :  448.55035983846</t>
  </si>
  <si>
    <t>04.05.2019 : 19:22:10 : debug :  : False :  446.882227194504</t>
  </si>
  <si>
    <t>04.05.2019 : 19:22:10 : debug :  : False :  445.992255133518</t>
  </si>
  <si>
    <t>04.05.2019 : 19:22:10 : debug :  : False :  443.283201692049</t>
  </si>
  <si>
    <t>04.05.2019 : 19:22:10 : debug :  : False :  439.433623712794</t>
  </si>
  <si>
    <t>04.05.2019 : 19:22:10 : debug :  : False :  440.665981683905</t>
  </si>
  <si>
    <t>04.05.2019 : 19:22:10 : debug :  : False :  439.433723897933</t>
  </si>
  <si>
    <t>04.05.2019 : 19:22:10 : debug :  : False :  434.358192088528</t>
  </si>
  <si>
    <t>04.05.2019 : 19:22:10 : debug :  : False :  431.539294512228</t>
  </si>
  <si>
    <t>04.05.2019 : 19:22:10 : debug :  : False :  422.800286056218</t>
  </si>
  <si>
    <t>04.05.2019 : 19:22:10 : debug :  : False :  409.849806787094</t>
  </si>
  <si>
    <t>04.05.2019 : 19:22:10 : debug :  : False :  414.054534283667</t>
  </si>
  <si>
    <t>04.05.2019 : 19:22:10 : debug :  : False :  409.851193365746</t>
  </si>
  <si>
    <t>04.05.2019 : 19:22:10 : debug :  : False :  402.911402925249</t>
  </si>
  <si>
    <t>04.05.2019 : 19:22:10 : debug :  : False :  399.23477355727</t>
  </si>
  <si>
    <t>04.05.2019 : 19:22:10 : debug :  : False :  387.925527289581</t>
  </si>
  <si>
    <t>04.05.2019 : 19:22:10 : debug :  : False :  371.865807002232</t>
  </si>
  <si>
    <t>04.05.2019 : 19:22:10 : debug :  : False :  376.997066413637</t>
  </si>
  <si>
    <t>04.05.2019 : 19:22:10 : debug :  : False :  371.866413930008</t>
  </si>
  <si>
    <t>04.05.2019 : 19:22:10 : debug :  : False :  363.499296436871</t>
  </si>
  <si>
    <t>04.05.2019 : 19:22:10 : debug :  : False :  359.169836982742</t>
  </si>
  <si>
    <t>04.05.2019 : 19:22:10 : debug :  : False :  346.005954695592</t>
  </si>
  <si>
    <t>04.05.2019 : 19:22:10 : debug :  : False :  327.921427980546</t>
  </si>
  <si>
    <t>04.05.2019 : 19:22:10 : debug :  : False :  333.623800100723</t>
  </si>
  <si>
    <t>04.05.2019 : 19:22:10 : debug :  : False :  327.921744017461</t>
  </si>
  <si>
    <t>04.05.2019 : 19:22:10 : debug :  : False :  318.731806428264</t>
  </si>
  <si>
    <t>04.05.2019 : 19:22:10 : debug :  : False :  314.119779993414</t>
  </si>
  <si>
    <t>04.05.2019 : 19:22:10 : debug :  : False :  300.218406166797</t>
  </si>
  <si>
    <t>04.05.2019 : 19:22:10 : debug :  : False :  281.652511647508</t>
  </si>
  <si>
    <t>04.05.2019 : 19:22:10 : debug :  : False :  287.449354926986</t>
  </si>
  <si>
    <t>04.05.2019 : 19:22:10 : debug :  : False :  281.652282627662</t>
  </si>
  <si>
    <t>04.05.2019 : 19:22:10 : debug :  : False :  272.39952158459</t>
  </si>
  <si>
    <t>04.05.2019 : 19:22:10 : debug :  : False :  267.79617680728</t>
  </si>
  <si>
    <t>04.05.2019 : 19:22:10 : debug :  : False :  254.075254159496</t>
  </si>
  <si>
    <t>04.05.2019 : 19:22:10 : debug :  : False :  236.105870938074</t>
  </si>
  <si>
    <t>04.05.2019 : 19:22:10 : debug :  : False :  241.673478713653</t>
  </si>
  <si>
    <t>04.05.2019 : 19:22:10 : debug :  : False :  236.105678752439</t>
  </si>
  <si>
    <t>04.05.2019 : 19:22:10 : debug :  : False :  227.299204976658</t>
  </si>
  <si>
    <t>04.05.2019 : 19:22:10 : debug :  : False :  222.953918614244</t>
  </si>
  <si>
    <t>04.05.2019 : 19:22:10 : debug :  : False :  210.146957412683</t>
  </si>
  <si>
    <t>04.05.2019 : 19:22:10 : debug :  : False :  193.702088752997</t>
  </si>
  <si>
    <t>04.05.2019 : 19:22:10 : debug :  : False :  198.757308576176</t>
  </si>
  <si>
    <t>04.05.2019 : 19:22:10 : debug :  : False :  193.701943026187</t>
  </si>
  <si>
    <t>04.05.2019 : 19:22:10 : debug :  : False :  185.780865894745</t>
  </si>
  <si>
    <t>04.05.2019 : 19:22:10 : debug :  : False :  181.905891279571</t>
  </si>
  <si>
    <t>04.05.2019 : 19:22:10 : debug :  : False :  170.620587570019</t>
  </si>
  <si>
    <t>04.05.2019 : 19:22:10 : debug :  : False :  156.436797937616</t>
  </si>
  <si>
    <t>04.05.2019 : 19:22:10 : debug :  : False :  160.758752725414</t>
  </si>
  <si>
    <t>04.05.2019 : 19:22:10 : debug :  : False :  156.436693531949</t>
  </si>
  <si>
    <t>04.05.2019 : 19:22:10 : debug :  : линейного давления по штуцеру</t>
  </si>
  <si>
    <t>04.05.2019 : 19:22:10 : debug :  :  156.436693531949</t>
  </si>
  <si>
    <t>04.05.2019 : 19:22:10 : debug :  : все подсчитали  :  .71875</t>
  </si>
  <si>
    <t>04.05.2019 : 19:22:12 : debug :  : все записали  :  2.09375</t>
  </si>
  <si>
    <t>Протектору (потреб.)</t>
  </si>
  <si>
    <t>Сепаратору (потреб.)</t>
  </si>
  <si>
    <t>Кабелю (потреб.)</t>
  </si>
  <si>
    <t>Трансформатор (потреб.)</t>
  </si>
  <si>
    <t>СУ (потреб.)</t>
  </si>
  <si>
    <t>Используемый фактический параметр</t>
  </si>
  <si>
    <t>Рассчитанный параметр</t>
  </si>
  <si>
    <t>Потреб. - потребление мощности элементом системы УЭЦН</t>
  </si>
  <si>
    <t>Передача - передача мощности элементу системы УЭЦН</t>
  </si>
  <si>
    <t>неактивно</t>
  </si>
  <si>
    <t>Относительные ошибки расчета</t>
  </si>
  <si>
    <t>°С</t>
  </si>
  <si>
    <t>ПЭД (передача)</t>
  </si>
  <si>
    <t>P пр.</t>
  </si>
  <si>
    <t>Р лин.</t>
  </si>
  <si>
    <t>P буф.</t>
  </si>
  <si>
    <t>P заб.</t>
  </si>
  <si>
    <t>P затруб.</t>
  </si>
  <si>
    <t>dP ЭЦН</t>
  </si>
  <si>
    <t>P вык.</t>
  </si>
  <si>
    <t>T лин.</t>
  </si>
  <si>
    <t>T буф.</t>
  </si>
  <si>
    <t>T заб.</t>
  </si>
  <si>
    <t>T вык.</t>
  </si>
  <si>
    <t>T пр.</t>
  </si>
  <si>
    <t>dT ЭЦН</t>
  </si>
  <si>
    <t>Кdegr_P</t>
  </si>
  <si>
    <t>Kdegr_Q</t>
  </si>
  <si>
    <t>Kdegr_N</t>
  </si>
  <si>
    <t>Параметр</t>
  </si>
  <si>
    <t>Ошибка</t>
  </si>
  <si>
    <t>Неиспользуемый фактический параметр</t>
  </si>
  <si>
    <t xml:space="preserve">Загрузка ПЭД </t>
  </si>
  <si>
    <t>Средняя ошибка</t>
  </si>
  <si>
    <t>Активная</t>
  </si>
  <si>
    <t>cor_Emulsion</t>
  </si>
  <si>
    <t>КПД, д.ед.</t>
  </si>
  <si>
    <t>PowerESP, Вт</t>
  </si>
  <si>
    <t>PowerFluid, Вт</t>
  </si>
  <si>
    <t>Pressure, атм</t>
  </si>
  <si>
    <t>Qmix, м3/сут</t>
  </si>
  <si>
    <t>Temp, С</t>
  </si>
  <si>
    <t>MuMix, сПуаз</t>
  </si>
  <si>
    <t>Распределение свойств в насосе по ступеням</t>
  </si>
  <si>
    <t>0 - Нет образования эмульсии в ЭЦН</t>
  </si>
  <si>
    <t>Учет образования эмульсии</t>
  </si>
  <si>
    <t>1 - Есть образование эмульсии в ЭЦН</t>
  </si>
  <si>
    <t>Паспротные характеристики</t>
  </si>
  <si>
    <t>Влияние вязкости на работу ЭЦН</t>
  </si>
  <si>
    <t>Характеристики с повышенной вязкостью</t>
  </si>
  <si>
    <t>Влияние ГФ на работу ЭЦН</t>
  </si>
  <si>
    <t>Вязкость на входе в насос для анализа влияния вязкости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</si>
</sst>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22"/>
      <color rgb="FF000000"/>
      <name val="Calibri"/>
      <family val="2"/>
      <charset val="204"/>
    </font>
    <font>
      <sz val="24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6" borderId="0" xfId="0" applyFill="1"/>
    <xf numFmtId="0" fontId="0" fillId="0" borderId="2" xfId="0" applyBorder="1" applyAlignment="1">
      <alignment horizontal="center"/>
    </xf>
    <xf numFmtId="0" fontId="15" fillId="2" borderId="2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5" fillId="3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164" fontId="15" fillId="10" borderId="2" xfId="0" applyNumberFormat="1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 wrapText="1"/>
    </xf>
    <xf numFmtId="2" fontId="15" fillId="4" borderId="2" xfId="0" applyNumberFormat="1" applyFont="1" applyFill="1" applyBorder="1" applyAlignment="1">
      <alignment horizontal="center" vertical="center"/>
    </xf>
    <xf numFmtId="164" fontId="15" fillId="10" borderId="12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3" borderId="10" xfId="0" applyFont="1" applyFill="1" applyBorder="1"/>
    <xf numFmtId="0" fontId="15" fillId="2" borderId="16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9" borderId="21" xfId="0" applyFont="1" applyFill="1" applyBorder="1"/>
    <xf numFmtId="164" fontId="15" fillId="4" borderId="0" xfId="0" applyNumberFormat="1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/>
    </xf>
    <xf numFmtId="164" fontId="15" fillId="4" borderId="0" xfId="0" applyNumberFormat="1" applyFont="1" applyFill="1" applyBorder="1" applyAlignment="1">
      <alignment horizontal="center" vertical="center"/>
    </xf>
    <xf numFmtId="164" fontId="15" fillId="4" borderId="15" xfId="0" applyNumberFormat="1" applyFont="1" applyFill="1" applyBorder="1" applyAlignment="1">
      <alignment horizontal="center" vertical="center" wrapText="1"/>
    </xf>
    <xf numFmtId="164" fontId="15" fillId="4" borderId="17" xfId="0" applyNumberFormat="1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/>
    </xf>
    <xf numFmtId="0" fontId="15" fillId="9" borderId="27" xfId="0" applyFont="1" applyFill="1" applyBorder="1" applyAlignment="1">
      <alignment horizontal="center" vertical="center"/>
    </xf>
    <xf numFmtId="0" fontId="15" fillId="2" borderId="28" xfId="0" applyFont="1" applyFill="1" applyBorder="1" applyAlignment="1">
      <alignment horizontal="center" vertical="center"/>
    </xf>
    <xf numFmtId="164" fontId="15" fillId="4" borderId="28" xfId="0" applyNumberFormat="1" applyFont="1" applyFill="1" applyBorder="1" applyAlignment="1">
      <alignment horizontal="center" vertical="center" wrapText="1"/>
    </xf>
    <xf numFmtId="164" fontId="15" fillId="4" borderId="28" xfId="0" applyNumberFormat="1" applyFont="1" applyFill="1" applyBorder="1" applyAlignment="1">
      <alignment horizontal="center" vertical="center"/>
    </xf>
    <xf numFmtId="164" fontId="15" fillId="4" borderId="29" xfId="0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0" fillId="3" borderId="8" xfId="0" applyFill="1" applyBorder="1"/>
    <xf numFmtId="0" fontId="17" fillId="0" borderId="0" xfId="0" applyFont="1"/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11" borderId="10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15" fillId="3" borderId="22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23" xfId="0" applyFont="1" applyFill="1" applyBorder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166" fontId="0" fillId="0" borderId="0" xfId="0" applyNumberFormat="1" applyBorder="1"/>
    <xf numFmtId="0" fontId="0" fillId="6" borderId="0" xfId="0" applyFill="1" applyAlignment="1">
      <alignment horizontal="center" vertical="center" textRotation="90"/>
    </xf>
    <xf numFmtId="2" fontId="0" fillId="6" borderId="0" xfId="0" applyNumberFormat="1" applyFill="1"/>
    <xf numFmtId="166" fontId="0" fillId="6" borderId="0" xfId="1" applyNumberFormat="1" applyFont="1" applyFill="1"/>
    <xf numFmtId="0" fontId="15" fillId="6" borderId="0" xfId="0" applyFont="1" applyFill="1" applyBorder="1" applyAlignment="1">
      <alignment horizontal="center"/>
    </xf>
    <xf numFmtId="2" fontId="15" fillId="6" borderId="0" xfId="0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15" fillId="6" borderId="0" xfId="0" applyNumberFormat="1" applyFont="1" applyFill="1" applyBorder="1" applyAlignment="1">
      <alignment horizontal="center"/>
    </xf>
    <xf numFmtId="166" fontId="15" fillId="6" borderId="0" xfId="1" applyNumberFormat="1" applyFon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15" fillId="6" borderId="0" xfId="2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166" fontId="15" fillId="6" borderId="0" xfId="0" applyNumberFormat="1" applyFont="1" applyFill="1" applyBorder="1" applyAlignment="1">
      <alignment horizontal="center"/>
    </xf>
    <xf numFmtId="0" fontId="0" fillId="6" borderId="0" xfId="0" applyFill="1" applyBorder="1"/>
    <xf numFmtId="0" fontId="15" fillId="6" borderId="0" xfId="0" applyFont="1" applyFill="1" applyBorder="1" applyAlignment="1">
      <alignment horizontal="center" vertical="center"/>
    </xf>
    <xf numFmtId="164" fontId="15" fillId="6" borderId="0" xfId="0" applyNumberFormat="1" applyFont="1" applyFill="1" applyBorder="1" applyAlignment="1">
      <alignment horizontal="right"/>
    </xf>
    <xf numFmtId="43" fontId="15" fillId="6" borderId="0" xfId="2" applyFont="1" applyFill="1" applyBorder="1" applyAlignment="1">
      <alignment horizontal="right"/>
    </xf>
    <xf numFmtId="2" fontId="0" fillId="6" borderId="0" xfId="0" applyNumberFormat="1" applyFill="1" applyBorder="1"/>
    <xf numFmtId="166" fontId="0" fillId="6" borderId="0" xfId="1" applyNumberFormat="1" applyFont="1" applyFill="1" applyBorder="1"/>
    <xf numFmtId="0" fontId="0" fillId="6" borderId="0" xfId="0" applyFill="1" applyAlignment="1">
      <alignment wrapText="1"/>
    </xf>
    <xf numFmtId="0" fontId="15" fillId="11" borderId="6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left"/>
    </xf>
    <xf numFmtId="0" fontId="15" fillId="11" borderId="8" xfId="0" applyFont="1" applyFill="1" applyBorder="1"/>
    <xf numFmtId="0" fontId="0" fillId="11" borderId="15" xfId="0" applyFill="1" applyBorder="1"/>
    <xf numFmtId="0" fontId="0" fillId="11" borderId="8" xfId="0" applyFill="1" applyBorder="1"/>
    <xf numFmtId="0" fontId="15" fillId="11" borderId="9" xfId="0" applyFont="1" applyFill="1" applyBorder="1" applyAlignment="1">
      <alignment horizontal="left"/>
    </xf>
    <xf numFmtId="0" fontId="15" fillId="11" borderId="10" xfId="0" applyFont="1" applyFill="1" applyBorder="1"/>
    <xf numFmtId="0" fontId="15" fillId="11" borderId="6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2" fontId="15" fillId="11" borderId="17" xfId="0" applyNumberFormat="1" applyFont="1" applyFill="1" applyBorder="1" applyAlignment="1">
      <alignment horizontal="center" vertical="center"/>
    </xf>
    <xf numFmtId="164" fontId="15" fillId="2" borderId="12" xfId="0" applyNumberFormat="1" applyFont="1" applyFill="1" applyBorder="1" applyAlignment="1">
      <alignment horizontal="center" vertical="center" wrapText="1"/>
    </xf>
    <xf numFmtId="0" fontId="0" fillId="12" borderId="34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31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2" borderId="33" xfId="0" applyFill="1" applyBorder="1"/>
    <xf numFmtId="0" fontId="0" fillId="12" borderId="18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15" fillId="3" borderId="10" xfId="0" applyFont="1" applyFill="1" applyBorder="1" applyAlignment="1">
      <alignment horizontal="center"/>
    </xf>
    <xf numFmtId="0" fontId="1" fillId="3" borderId="6" xfId="0" applyFont="1" applyFill="1" applyBorder="1"/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11" borderId="6" xfId="0" applyFont="1" applyFill="1" applyBorder="1"/>
    <xf numFmtId="0" fontId="0" fillId="11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 wrapText="1"/>
    </xf>
    <xf numFmtId="1" fontId="0" fillId="3" borderId="2" xfId="0" applyNumberFormat="1" applyFill="1" applyBorder="1" applyAlignment="1">
      <alignment horizontal="center" vertical="center" wrapText="1"/>
    </xf>
    <xf numFmtId="166" fontId="16" fillId="6" borderId="0" xfId="0" applyNumberFormat="1" applyFont="1" applyFill="1" applyBorder="1" applyAlignment="1">
      <alignment horizontal="center"/>
    </xf>
    <xf numFmtId="10" fontId="16" fillId="6" borderId="0" xfId="0" applyNumberFormat="1" applyFont="1" applyFill="1" applyBorder="1" applyAlignment="1">
      <alignment horizontal="center"/>
    </xf>
    <xf numFmtId="0" fontId="15" fillId="6" borderId="0" xfId="0" applyFont="1" applyFill="1" applyBorder="1" applyAlignment="1"/>
    <xf numFmtId="166" fontId="16" fillId="11" borderId="8" xfId="0" applyNumberFormat="1" applyFont="1" applyFill="1" applyBorder="1" applyAlignment="1">
      <alignment horizontal="center" vertical="center"/>
    </xf>
    <xf numFmtId="166" fontId="16" fillId="11" borderId="10" xfId="0" applyNumberFormat="1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166" fontId="16" fillId="10" borderId="27" xfId="0" applyNumberFormat="1" applyFont="1" applyFill="1" applyBorder="1" applyAlignment="1">
      <alignment horizontal="center" vertical="center"/>
    </xf>
    <xf numFmtId="166" fontId="16" fillId="10" borderId="28" xfId="0" applyNumberFormat="1" applyFont="1" applyFill="1" applyBorder="1" applyAlignment="1">
      <alignment horizontal="center" vertical="center"/>
    </xf>
    <xf numFmtId="10" fontId="16" fillId="10" borderId="28" xfId="0" applyNumberFormat="1" applyFont="1" applyFill="1" applyBorder="1" applyAlignment="1">
      <alignment horizontal="center" vertical="center"/>
    </xf>
    <xf numFmtId="10" fontId="16" fillId="10" borderId="30" xfId="0" applyNumberFormat="1" applyFont="1" applyFill="1" applyBorder="1" applyAlignment="1">
      <alignment horizontal="center"/>
    </xf>
    <xf numFmtId="10" fontId="16" fillId="10" borderId="33" xfId="0" applyNumberFormat="1" applyFont="1" applyFill="1" applyBorder="1" applyAlignment="1">
      <alignment horizontal="center" vertical="center"/>
    </xf>
    <xf numFmtId="2" fontId="15" fillId="4" borderId="12" xfId="0" applyNumberFormat="1" applyFon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2" xfId="0" applyFill="1" applyBorder="1"/>
    <xf numFmtId="0" fontId="0" fillId="4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wrapText="1"/>
    </xf>
    <xf numFmtId="0" fontId="18" fillId="6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0" xfId="0" applyNumberFormat="1" applyFont="1" applyAlignment="1">
      <alignment horizont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2.1170216379989957</c:v>
                </c:pt>
                <c:pt idx="1">
                  <c:v>5.9182920276474258</c:v>
                </c:pt>
                <c:pt idx="2">
                  <c:v>8.0449409040946911</c:v>
                </c:pt>
                <c:pt idx="3">
                  <c:v>9.7011649337743631</c:v>
                </c:pt>
                <c:pt idx="4">
                  <c:v>11.105689394554798</c:v>
                </c:pt>
                <c:pt idx="5">
                  <c:v>12.347225203344887</c:v>
                </c:pt>
                <c:pt idx="6">
                  <c:v>13.472196295236335</c:v>
                </c:pt>
                <c:pt idx="7">
                  <c:v>14.508493158455678</c:v>
                </c:pt>
                <c:pt idx="8">
                  <c:v>15.474416720623401</c:v>
                </c:pt>
                <c:pt idx="9">
                  <c:v>16.382739176478896</c:v>
                </c:pt>
                <c:pt idx="10">
                  <c:v>17.242790821494047</c:v>
                </c:pt>
                <c:pt idx="11">
                  <c:v>18.061632225554259</c:v>
                </c:pt>
                <c:pt idx="12">
                  <c:v>18.844758510116748</c:v>
                </c:pt>
                <c:pt idx="13">
                  <c:v>19.596545495160843</c:v>
                </c:pt>
                <c:pt idx="14">
                  <c:v>20.320544672736261</c:v>
                </c:pt>
                <c:pt idx="15">
                  <c:v>21.019685241221147</c:v>
                </c:pt>
                <c:pt idx="16">
                  <c:v>21.696416652160845</c:v>
                </c:pt>
                <c:pt idx="17">
                  <c:v>22.352811763560851</c:v>
                </c:pt>
                <c:pt idx="18">
                  <c:v>22.990643135263724</c:v>
                </c:pt>
                <c:pt idx="19">
                  <c:v>23.611440545248538</c:v>
                </c:pt>
                <c:pt idx="20">
                  <c:v>24.21653508258953</c:v>
                </c:pt>
                <c:pt idx="21">
                  <c:v>27.58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2.4898460872964363</c:v>
                </c:pt>
                <c:pt idx="1">
                  <c:v>6.0198729048832016</c:v>
                </c:pt>
                <c:pt idx="2">
                  <c:v>8.0842399153302473</c:v>
                </c:pt>
                <c:pt idx="3">
                  <c:v>9.7006478666640028</c:v>
                </c:pt>
                <c:pt idx="4">
                  <c:v>11.073949434363133</c:v>
                </c:pt>
                <c:pt idx="5">
                  <c:v>12.288812584791534</c:v>
                </c:pt>
                <c:pt idx="6">
                  <c:v>13.389947293326884</c:v>
                </c:pt>
                <c:pt idx="7">
                  <c:v>14.404359382486886</c:v>
                </c:pt>
                <c:pt idx="8">
                  <c:v>15.349833010283209</c:v>
                </c:pt>
                <c:pt idx="9">
                  <c:v>16.238811563918656</c:v>
                </c:pt>
                <c:pt idx="10">
                  <c:v>17.08040258950555</c:v>
                </c:pt>
                <c:pt idx="11">
                  <c:v>17.881508344082651</c:v>
                </c:pt>
                <c:pt idx="12">
                  <c:v>18.647507093989908</c:v>
                </c:pt>
                <c:pt idx="13">
                  <c:v>19.382685725952314</c:v>
                </c:pt>
                <c:pt idx="14">
                  <c:v>20.090526320187848</c:v>
                </c:pt>
                <c:pt idx="15">
                  <c:v>20.773902742619512</c:v>
                </c:pt>
                <c:pt idx="16">
                  <c:v>21.435219537112104</c:v>
                </c:pt>
                <c:pt idx="17">
                  <c:v>22.07651254834018</c:v>
                </c:pt>
                <c:pt idx="18">
                  <c:v>22.699523418414937</c:v>
                </c:pt>
                <c:pt idx="19">
                  <c:v>23.305755794959182</c:v>
                </c:pt>
                <c:pt idx="20">
                  <c:v>23.896518453308552</c:v>
                </c:pt>
                <c:pt idx="21">
                  <c:v>24.1383734682403</c:v>
                </c:pt>
                <c:pt idx="22">
                  <c:v>24.1383734682403</c:v>
                </c:pt>
                <c:pt idx="23">
                  <c:v>24.1383734682403</c:v>
                </c:pt>
                <c:pt idx="24">
                  <c:v>24.1383734682403</c:v>
                </c:pt>
                <c:pt idx="25">
                  <c:v>24.1383734682403</c:v>
                </c:pt>
                <c:pt idx="26">
                  <c:v>24.1383734682403</c:v>
                </c:pt>
                <c:pt idx="27">
                  <c:v>24.1383734682403</c:v>
                </c:pt>
                <c:pt idx="28">
                  <c:v>24.1383734682403</c:v>
                </c:pt>
                <c:pt idx="29">
                  <c:v>24.1383734682403</c:v>
                </c:pt>
                <c:pt idx="30">
                  <c:v>24.1383734682403</c:v>
                </c:pt>
                <c:pt idx="31">
                  <c:v>24.1383734682403</c:v>
                </c:pt>
                <c:pt idx="32">
                  <c:v>24.1383734682403</c:v>
                </c:pt>
                <c:pt idx="33">
                  <c:v>24.1383734682403</c:v>
                </c:pt>
                <c:pt idx="34">
                  <c:v>24.1383734682403</c:v>
                </c:pt>
                <c:pt idx="35">
                  <c:v>24.1383734682403</c:v>
                </c:pt>
                <c:pt idx="36">
                  <c:v>24.1383734682403</c:v>
                </c:pt>
                <c:pt idx="37">
                  <c:v>24.1383734682403</c:v>
                </c:pt>
                <c:pt idx="38">
                  <c:v>24.1383734682403</c:v>
                </c:pt>
                <c:pt idx="39">
                  <c:v>24.1383734682403</c:v>
                </c:pt>
                <c:pt idx="40">
                  <c:v>24.1383734682403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0.24272689260248329</c:v>
                </c:pt>
                <c:pt idx="1">
                  <c:v>4.9305767908020242</c:v>
                </c:pt>
                <c:pt idx="2">
                  <c:v>6.8987932045254414</c:v>
                </c:pt>
                <c:pt idx="3">
                  <c:v>8.4019651423165254</c:v>
                </c:pt>
                <c:pt idx="4">
                  <c:v>9.6662149210064428</c:v>
                </c:pt>
                <c:pt idx="5">
                  <c:v>10.778541906348199</c:v>
                </c:pt>
                <c:pt idx="6">
                  <c:v>11.783358966610844</c:v>
                </c:pt>
                <c:pt idx="7">
                  <c:v>12.706955593102236</c:v>
                </c:pt>
                <c:pt idx="8">
                  <c:v>13.566411158837026</c:v>
                </c:pt>
                <c:pt idx="9">
                  <c:v>14.373559963224778</c:v>
                </c:pt>
                <c:pt idx="10">
                  <c:v>15.137000213492808</c:v>
                </c:pt>
                <c:pt idx="11">
                  <c:v>15.863210736019761</c:v>
                </c:pt>
                <c:pt idx="12">
                  <c:v>16.557216538813584</c:v>
                </c:pt>
                <c:pt idx="13">
                  <c:v>17.223007730532828</c:v>
                </c:pt>
                <c:pt idx="14">
                  <c:v>17.863815040339368</c:v>
                </c:pt>
                <c:pt idx="15">
                  <c:v>18.482297703210264</c:v>
                </c:pt>
                <c:pt idx="16">
                  <c:v>19.080675533133</c:v>
                </c:pt>
                <c:pt idx="17">
                  <c:v>19.660824193461302</c:v>
                </c:pt>
                <c:pt idx="18">
                  <c:v>20.22434546739828</c:v>
                </c:pt>
                <c:pt idx="19">
                  <c:v>20.772620104206187</c:v>
                </c:pt>
                <c:pt idx="20">
                  <c:v>21.306848245355852</c:v>
                </c:pt>
                <c:pt idx="21">
                  <c:v>25.185043742715241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936.04745266503528</c:v>
                </c:pt>
                <c:pt idx="1">
                  <c:v>934.21247182621039</c:v>
                </c:pt>
                <c:pt idx="2">
                  <c:v>933.21775008154611</c:v>
                </c:pt>
                <c:pt idx="3">
                  <c:v>932.45944816622637</c:v>
                </c:pt>
                <c:pt idx="4">
                  <c:v>931.82779537836166</c:v>
                </c:pt>
                <c:pt idx="5">
                  <c:v>931.27824360205568</c:v>
                </c:pt>
                <c:pt idx="6">
                  <c:v>930.78746708942435</c:v>
                </c:pt>
                <c:pt idx="7">
                  <c:v>930.3414447302182</c:v>
                </c:pt>
                <c:pt idx="8">
                  <c:v>929.93097158433147</c:v>
                </c:pt>
                <c:pt idx="9">
                  <c:v>929.54962027643137</c:v>
                </c:pt>
                <c:pt idx="10">
                  <c:v>929.19269316613975</c:v>
                </c:pt>
                <c:pt idx="11">
                  <c:v>928.85663362818275</c:v>
                </c:pt>
                <c:pt idx="12">
                  <c:v>928.53867224780379</c:v>
                </c:pt>
                <c:pt idx="13">
                  <c:v>928.23660263983743</c:v>
                </c:pt>
                <c:pt idx="14">
                  <c:v>927.94863319593287</c:v>
                </c:pt>
                <c:pt idx="15">
                  <c:v>927.67328551997161</c:v>
                </c:pt>
                <c:pt idx="16">
                  <c:v>927.40932275251214</c:v>
                </c:pt>
                <c:pt idx="17">
                  <c:v>927.15569769178114</c:v>
                </c:pt>
                <c:pt idx="18">
                  <c:v>926.91151441403451</c:v>
                </c:pt>
                <c:pt idx="19">
                  <c:v>926.67599933433155</c:v>
                </c:pt>
                <c:pt idx="20">
                  <c:v>926.44847905682491</c:v>
                </c:pt>
                <c:pt idx="21">
                  <c:v>925.14803719158544</c:v>
                </c:pt>
                <c:pt idx="22">
                  <c:v>925.07893157593662</c:v>
                </c:pt>
                <c:pt idx="23">
                  <c:v>925.03463694890536</c:v>
                </c:pt>
                <c:pt idx="24">
                  <c:v>925.00382506662265</c:v>
                </c:pt>
                <c:pt idx="25">
                  <c:v>924.98115310027129</c:v>
                </c:pt>
                <c:pt idx="26">
                  <c:v>924.96377179229535</c:v>
                </c:pt>
                <c:pt idx="27">
                  <c:v>924.95002272705005</c:v>
                </c:pt>
                <c:pt idx="28">
                  <c:v>924.93887504876227</c:v>
                </c:pt>
                <c:pt idx="29">
                  <c:v>924.92965427345382</c:v>
                </c:pt>
                <c:pt idx="30">
                  <c:v>924.92190054042248</c:v>
                </c:pt>
                <c:pt idx="31">
                  <c:v>924.91528953548163</c:v>
                </c:pt>
                <c:pt idx="32">
                  <c:v>924.90958597714257</c:v>
                </c:pt>
                <c:pt idx="33">
                  <c:v>924.90461502654978</c:v>
                </c:pt>
                <c:pt idx="34">
                  <c:v>924.90024404952828</c:v>
                </c:pt>
                <c:pt idx="35">
                  <c:v>924.89637060653251</c:v>
                </c:pt>
                <c:pt idx="36">
                  <c:v>924.89291432294533</c:v>
                </c:pt>
                <c:pt idx="37">
                  <c:v>924.88981125180283</c:v>
                </c:pt>
                <c:pt idx="38">
                  <c:v>924.88700988079472</c:v>
                </c:pt>
                <c:pt idx="39">
                  <c:v>924.88446824994458</c:v>
                </c:pt>
                <c:pt idx="40">
                  <c:v>924.88215183550631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935.79175182183587</c:v>
                </c:pt>
                <c:pt idx="1">
                  <c:v>934.07036884268905</c:v>
                </c:pt>
                <c:pt idx="2">
                  <c:v>933.09937046490347</c:v>
                </c:pt>
                <c:pt idx="3">
                  <c:v>932.35809745967549</c:v>
                </c:pt>
                <c:pt idx="4">
                  <c:v>931.7416535482663</c:v>
                </c:pt>
                <c:pt idx="5">
                  <c:v>931.20665465353125</c:v>
                </c:pt>
                <c:pt idx="6">
                  <c:v>930.73017708466091</c:v>
                </c:pt>
                <c:pt idx="7">
                  <c:v>930.29836613176042</c:v>
                </c:pt>
                <c:pt idx="8">
                  <c:v>929.90209281700891</c:v>
                </c:pt>
                <c:pt idx="9">
                  <c:v>929.53496604999793</c:v>
                </c:pt>
                <c:pt idx="10">
                  <c:v>929.19230544858533</c:v>
                </c:pt>
                <c:pt idx="11">
                  <c:v>928.87056195929199</c:v>
                </c:pt>
                <c:pt idx="12">
                  <c:v>928.5669686166043</c:v>
                </c:pt>
                <c:pt idx="13">
                  <c:v>928.27931872455883</c:v>
                </c:pt>
                <c:pt idx="14">
                  <c:v>928.00581888091153</c:v>
                </c:pt>
                <c:pt idx="15">
                  <c:v>927.74498812485365</c:v>
                </c:pt>
                <c:pt idx="16">
                  <c:v>927.4955866673007</c:v>
                </c:pt>
                <c:pt idx="17">
                  <c:v>927.25656424567364</c:v>
                </c:pt>
                <c:pt idx="18">
                  <c:v>927.0270218788271</c:v>
                </c:pt>
                <c:pt idx="19">
                  <c:v>926.80618300400636</c:v>
                </c:pt>
                <c:pt idx="20">
                  <c:v>926.59337132815483</c:v>
                </c:pt>
                <c:pt idx="21">
                  <c:v>926.11673951606042</c:v>
                </c:pt>
                <c:pt idx="22">
                  <c:v>925.92114278917199</c:v>
                </c:pt>
                <c:pt idx="23">
                  <c:v>925.79578519677625</c:v>
                </c:pt>
                <c:pt idx="24">
                  <c:v>925.7085913976864</c:v>
                </c:pt>
                <c:pt idx="25">
                  <c:v>925.64443593932788</c:v>
                </c:pt>
                <c:pt idx="26">
                  <c:v>925.59525354204038</c:v>
                </c:pt>
                <c:pt idx="27">
                  <c:v>925.55635018715805</c:v>
                </c:pt>
                <c:pt idx="28">
                  <c:v>925.52480830342904</c:v>
                </c:pt>
                <c:pt idx="29">
                  <c:v>925.49871903510825</c:v>
                </c:pt>
                <c:pt idx="30">
                  <c:v>925.47678098518463</c:v>
                </c:pt>
                <c:pt idx="31">
                  <c:v>925.45807638218525</c:v>
                </c:pt>
                <c:pt idx="32">
                  <c:v>925.44193942609638</c:v>
                </c:pt>
                <c:pt idx="33">
                  <c:v>925.42787536982144</c:v>
                </c:pt>
                <c:pt idx="34">
                  <c:v>925.41550890222936</c:v>
                </c:pt>
                <c:pt idx="35">
                  <c:v>925.40455015848454</c:v>
                </c:pt>
                <c:pt idx="36">
                  <c:v>925.39477171282613</c:v>
                </c:pt>
                <c:pt idx="37">
                  <c:v>925.38599262536707</c:v>
                </c:pt>
                <c:pt idx="38">
                  <c:v>925.37806714235899</c:v>
                </c:pt>
                <c:pt idx="39">
                  <c:v>925.37087653971594</c:v>
                </c:pt>
                <c:pt idx="40">
                  <c:v>925.36432313490741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934.86668831345264</c:v>
                </c:pt>
                <c:pt idx="1">
                  <c:v>930.71434021460436</c:v>
                </c:pt>
                <c:pt idx="2">
                  <c:v>929.02188282222403</c:v>
                </c:pt>
                <c:pt idx="3">
                  <c:v>927.7502730000889</c:v>
                </c:pt>
                <c:pt idx="4">
                  <c:v>926.69495650724832</c:v>
                </c:pt>
                <c:pt idx="5">
                  <c:v>925.7772188244428</c:v>
                </c:pt>
                <c:pt idx="6">
                  <c:v>924.95686991204366</c:v>
                </c:pt>
                <c:pt idx="7">
                  <c:v>924.2101161105503</c:v>
                </c:pt>
                <c:pt idx="8">
                  <c:v>923.52149696368656</c:v>
                </c:pt>
                <c:pt idx="9">
                  <c:v>922.88029825040917</c:v>
                </c:pt>
                <c:pt idx="10">
                  <c:v>922.27873429464546</c:v>
                </c:pt>
                <c:pt idx="11">
                  <c:v>921.7109375764901</c:v>
                </c:pt>
                <c:pt idx="12">
                  <c:v>921.17235648644964</c:v>
                </c:pt>
                <c:pt idx="13">
                  <c:v>920.65937623347361</c:v>
                </c:pt>
                <c:pt idx="14">
                  <c:v>920.16906950211978</c:v>
                </c:pt>
                <c:pt idx="15">
                  <c:v>919.69902640661314</c:v>
                </c:pt>
                <c:pt idx="16">
                  <c:v>919.24723494967304</c:v>
                </c:pt>
                <c:pt idx="17">
                  <c:v>918.81199478623842</c:v>
                </c:pt>
                <c:pt idx="18">
                  <c:v>918.39185361213833</c:v>
                </c:pt>
                <c:pt idx="19">
                  <c:v>917.98555932259865</c:v>
                </c:pt>
                <c:pt idx="20">
                  <c:v>917.59202341211767</c:v>
                </c:pt>
                <c:pt idx="21">
                  <c:v>914.80437765784654</c:v>
                </c:pt>
                <c:pt idx="22">
                  <c:v>913.06307665251722</c:v>
                </c:pt>
                <c:pt idx="23">
                  <c:v>913.00686270168649</c:v>
                </c:pt>
                <c:pt idx="24">
                  <c:v>912.96776004622734</c:v>
                </c:pt>
                <c:pt idx="25">
                  <c:v>912.93898780973404</c:v>
                </c:pt>
                <c:pt idx="26">
                  <c:v>912.91692990785782</c:v>
                </c:pt>
                <c:pt idx="27">
                  <c:v>912.89948161950622</c:v>
                </c:pt>
                <c:pt idx="28">
                  <c:v>912.88533468270884</c:v>
                </c:pt>
                <c:pt idx="29">
                  <c:v>912.87363311475383</c:v>
                </c:pt>
                <c:pt idx="30">
                  <c:v>912.8637933135459</c:v>
                </c:pt>
                <c:pt idx="31">
                  <c:v>912.85540369917931</c:v>
                </c:pt>
                <c:pt idx="32">
                  <c:v>912.84816568251358</c:v>
                </c:pt>
                <c:pt idx="33">
                  <c:v>912.84185738131634</c:v>
                </c:pt>
                <c:pt idx="34">
                  <c:v>912.83631047448966</c:v>
                </c:pt>
                <c:pt idx="35">
                  <c:v>912.83139496019623</c:v>
                </c:pt>
                <c:pt idx="36">
                  <c:v>912.82700883855864</c:v>
                </c:pt>
                <c:pt idx="37">
                  <c:v>912.82307095749479</c:v>
                </c:pt>
                <c:pt idx="38">
                  <c:v>912.81951594529096</c:v>
                </c:pt>
                <c:pt idx="39">
                  <c:v>912.81629055272276</c:v>
                </c:pt>
                <c:pt idx="40">
                  <c:v>912.81335096757175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Объемный коэффициент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1.0120509661176658</c:v>
                </c:pt>
                <c:pt idx="1">
                  <c:v>1.0185127776908613</c:v>
                </c:pt>
                <c:pt idx="2">
                  <c:v>1.0221040628394933</c:v>
                </c:pt>
                <c:pt idx="3">
                  <c:v>1.0248882391175786</c:v>
                </c:pt>
                <c:pt idx="4">
                  <c:v>1.0272402727279952</c:v>
                </c:pt>
                <c:pt idx="5">
                  <c:v>1.0293122931984253</c:v>
                </c:pt>
                <c:pt idx="6">
                  <c:v>1.031183936107176</c:v>
                </c:pt>
                <c:pt idx="7">
                  <c:v>1.0329030582542469</c:v>
                </c:pt>
                <c:pt idx="8">
                  <c:v>1.0345010703082986</c:v>
                </c:pt>
                <c:pt idx="9">
                  <c:v>1.0359998995215887</c:v>
                </c:pt>
                <c:pt idx="10">
                  <c:v>1.0374155682470496</c:v>
                </c:pt>
                <c:pt idx="11">
                  <c:v>1.0387602042654869</c:v>
                </c:pt>
                <c:pt idx="12">
                  <c:v>1.0400432488038602</c:v>
                </c:pt>
                <c:pt idx="13">
                  <c:v>1.0412722218877222</c:v>
                </c:pt>
                <c:pt idx="14">
                  <c:v>1.0424532284210637</c:v>
                </c:pt>
                <c:pt idx="15">
                  <c:v>1.0435913048532404</c:v>
                </c:pt>
                <c:pt idx="16">
                  <c:v>1.0446906638009921</c:v>
                </c:pt>
                <c:pt idx="17">
                  <c:v>1.0457548710882316</c:v>
                </c:pt>
                <c:pt idx="18">
                  <c:v>1.046786976704996</c:v>
                </c:pt>
                <c:pt idx="19">
                  <c:v>1.0477896135436739</c:v>
                </c:pt>
                <c:pt idx="20">
                  <c:v>1.0487650730546061</c:v>
                </c:pt>
                <c:pt idx="21">
                  <c:v>1.054236725573924</c:v>
                </c:pt>
                <c:pt idx="22">
                  <c:v>1.0543154795866614</c:v>
                </c:pt>
                <c:pt idx="23">
                  <c:v>1.0543659647350831</c:v>
                </c:pt>
                <c:pt idx="24">
                  <c:v>1.0544010856709192</c:v>
                </c:pt>
                <c:pt idx="25">
                  <c:v>1.0544269298147215</c:v>
                </c:pt>
                <c:pt idx="26">
                  <c:v>1.0544467439088128</c:v>
                </c:pt>
                <c:pt idx="27">
                  <c:v>1.0544624178984592</c:v>
                </c:pt>
                <c:pt idx="28">
                  <c:v>1.0544751266385914</c:v>
                </c:pt>
                <c:pt idx="29">
                  <c:v>1.054485638873945</c:v>
                </c:pt>
                <c:pt idx="30">
                  <c:v>1.0544944787555872</c:v>
                </c:pt>
                <c:pt idx="31">
                  <c:v>1.0545020159520073</c:v>
                </c:pt>
                <c:pt idx="32">
                  <c:v>1.0545085186565504</c:v>
                </c:pt>
                <c:pt idx="33">
                  <c:v>1.0545141861704332</c:v>
                </c:pt>
                <c:pt idx="34">
                  <c:v>1.0545191696887166</c:v>
                </c:pt>
                <c:pt idx="35">
                  <c:v>1.0545235859887709</c:v>
                </c:pt>
                <c:pt idx="36">
                  <c:v>1.0545275266963989</c:v>
                </c:pt>
                <c:pt idx="37">
                  <c:v>1.0545310647113033</c:v>
                </c:pt>
                <c:pt idx="38">
                  <c:v>1.0545342587584898</c:v>
                </c:pt>
                <c:pt idx="39">
                  <c:v>1.0545371566737394</c:v>
                </c:pt>
                <c:pt idx="40">
                  <c:v>1.0545397978157385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1.0127655630895147</c:v>
                </c:pt>
                <c:pt idx="1">
                  <c:v>1.0187873018969222</c:v>
                </c:pt>
                <c:pt idx="2">
                  <c:v>1.0222800427341854</c:v>
                </c:pt>
                <c:pt idx="3">
                  <c:v>1.0249990384088079</c:v>
                </c:pt>
                <c:pt idx="4">
                  <c:v>1.0272977879398641</c:v>
                </c:pt>
                <c:pt idx="5">
                  <c:v>1.0293224530896248</c:v>
                </c:pt>
                <c:pt idx="6">
                  <c:v>1.0311502435148114</c:v>
                </c:pt>
                <c:pt idx="7">
                  <c:v>1.0328278112182989</c:v>
                </c:pt>
                <c:pt idx="8">
                  <c:v>1.0343858878475285</c:v>
                </c:pt>
                <c:pt idx="9">
                  <c:v>1.0358459828256588</c:v>
                </c:pt>
                <c:pt idx="10">
                  <c:v>1.0372238442008574</c:v>
                </c:pt>
                <c:pt idx="11">
                  <c:v>1.0385314104849903</c:v>
                </c:pt>
                <c:pt idx="12">
                  <c:v>1.0397779870562045</c:v>
                </c:pt>
                <c:pt idx="13">
                  <c:v>1.0409709932609008</c:v>
                </c:pt>
                <c:pt idx="14">
                  <c:v>1.0421164573849941</c:v>
                </c:pt>
                <c:pt idx="15">
                  <c:v>1.0432193562573497</c:v>
                </c:pt>
                <c:pt idx="16">
                  <c:v>1.044283855212643</c:v>
                </c:pt>
                <c:pt idx="17">
                  <c:v>1.0453134819603935</c:v>
                </c:pt>
                <c:pt idx="18">
                  <c:v>1.0463112553271767</c:v>
                </c:pt>
                <c:pt idx="19">
                  <c:v>1.0472797824062807</c:v>
                </c:pt>
                <c:pt idx="20">
                  <c:v>1.0482213330997243</c:v>
                </c:pt>
                <c:pt idx="21">
                  <c:v>1.0490479486281719</c:v>
                </c:pt>
                <c:pt idx="22">
                  <c:v>1.0492695553456539</c:v>
                </c:pt>
                <c:pt idx="23">
                  <c:v>1.0494116319324513</c:v>
                </c:pt>
                <c:pt idx="24">
                  <c:v>1.0495104774955666</c:v>
                </c:pt>
                <c:pt idx="25">
                  <c:v>1.0495832179811371</c:v>
                </c:pt>
                <c:pt idx="26">
                  <c:v>1.0496389885986024</c:v>
                </c:pt>
                <c:pt idx="27">
                  <c:v>1.0496831074445954</c:v>
                </c:pt>
                <c:pt idx="28">
                  <c:v>1.0497188806429261</c:v>
                </c:pt>
                <c:pt idx="29">
                  <c:v>1.0497484716050476</c:v>
                </c:pt>
                <c:pt idx="30">
                  <c:v>1.0497733554647515</c:v>
                </c:pt>
                <c:pt idx="31">
                  <c:v>1.0497945726266678</c:v>
                </c:pt>
                <c:pt idx="32">
                  <c:v>1.0498128779229798</c:v>
                </c:pt>
                <c:pt idx="33">
                  <c:v>1.049828832302339</c:v>
                </c:pt>
                <c:pt idx="34">
                  <c:v>1.0498428613240132</c:v>
                </c:pt>
                <c:pt idx="35">
                  <c:v>1.0498552936800973</c:v>
                </c:pt>
                <c:pt idx="36">
                  <c:v>1.0498663872730722</c:v>
                </c:pt>
                <c:pt idx="37">
                  <c:v>1.0498763472993831</c:v>
                </c:pt>
                <c:pt idx="38">
                  <c:v>1.0498853390590179</c:v>
                </c:pt>
                <c:pt idx="39">
                  <c:v>1.0498934972024017</c:v>
                </c:pt>
                <c:pt idx="40">
                  <c:v>1.0499009325194124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1.0111247917128516</c:v>
                </c:pt>
                <c:pt idx="1">
                  <c:v>1.0211740337853203</c:v>
                </c:pt>
                <c:pt idx="2">
                  <c:v>1.0253638237221769</c:v>
                </c:pt>
                <c:pt idx="3">
                  <c:v>1.0285507215720753</c:v>
                </c:pt>
                <c:pt idx="4">
                  <c:v>1.0312220721410816</c:v>
                </c:pt>
                <c:pt idx="5">
                  <c:v>1.0335654309978617</c:v>
                </c:pt>
                <c:pt idx="6">
                  <c:v>1.035676568114632</c:v>
                </c:pt>
                <c:pt idx="7">
                  <c:v>1.0376121859810667</c:v>
                </c:pt>
                <c:pt idx="8">
                  <c:v>1.0394091303964748</c:v>
                </c:pt>
                <c:pt idx="9">
                  <c:v>1.0410929371965694</c:v>
                </c:pt>
                <c:pt idx="10">
                  <c:v>1.0426821633052206</c:v>
                </c:pt>
                <c:pt idx="11">
                  <c:v>1.0441907943841726</c:v>
                </c:pt>
                <c:pt idx="12">
                  <c:v>1.045629679959996</c:v>
                </c:pt>
                <c:pt idx="13">
                  <c:v>1.0470074368150508</c:v>
                </c:pt>
                <c:pt idx="14">
                  <c:v>1.0483310431997541</c:v>
                </c:pt>
                <c:pt idx="15">
                  <c:v>1.0496062440831888</c:v>
                </c:pt>
                <c:pt idx="16">
                  <c:v>1.0508378360494401</c:v>
                </c:pt>
                <c:pt idx="17">
                  <c:v>1.0520298728254196</c:v>
                </c:pt>
                <c:pt idx="18">
                  <c:v>1.0531858168901602</c:v>
                </c:pt>
                <c:pt idx="19">
                  <c:v>1.0543086535014428</c:v>
                </c:pt>
                <c:pt idx="20">
                  <c:v>1.0554009779314164</c:v>
                </c:pt>
                <c:pt idx="21">
                  <c:v>1.063278373936938</c:v>
                </c:pt>
                <c:pt idx="22">
                  <c:v>1.0681902075985246</c:v>
                </c:pt>
                <c:pt idx="23">
                  <c:v>1.0682559762080071</c:v>
                </c:pt>
                <c:pt idx="24">
                  <c:v>1.0683017298996573</c:v>
                </c:pt>
                <c:pt idx="25">
                  <c:v>1.0683353985570696</c:v>
                </c:pt>
                <c:pt idx="26">
                  <c:v>1.0683612116804988</c:v>
                </c:pt>
                <c:pt idx="27">
                  <c:v>1.0683816313158041</c:v>
                </c:pt>
                <c:pt idx="28">
                  <c:v>1.0683981879706648</c:v>
                </c:pt>
                <c:pt idx="29">
                  <c:v>1.0684118831126275</c:v>
                </c:pt>
                <c:pt idx="30">
                  <c:v>1.0684233995739167</c:v>
                </c:pt>
                <c:pt idx="31">
                  <c:v>1.0684332189388088</c:v>
                </c:pt>
                <c:pt idx="32">
                  <c:v>1.0684416905967862</c:v>
                </c:pt>
                <c:pt idx="33">
                  <c:v>1.0684490741889621</c:v>
                </c:pt>
                <c:pt idx="34">
                  <c:v>1.0684555666864619</c:v>
                </c:pt>
                <c:pt idx="35">
                  <c:v>1.0684613202228093</c:v>
                </c:pt>
                <c:pt idx="36">
                  <c:v>1.0684664541652433</c:v>
                </c:pt>
                <c:pt idx="37">
                  <c:v>1.0684710634854402</c:v>
                </c:pt>
                <c:pt idx="38">
                  <c:v>1.0684752246888367</c:v>
                </c:pt>
                <c:pt idx="39">
                  <c:v>1.0684790000947806</c:v>
                </c:pt>
                <c:pt idx="40">
                  <c:v>1.0684824409789433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182.82319397430365</c:v>
                </c:pt>
                <c:pt idx="1">
                  <c:v>154.26566855947684</c:v>
                </c:pt>
                <c:pt idx="2">
                  <c:v>141.06869536099902</c:v>
                </c:pt>
                <c:pt idx="3">
                  <c:v>131.91168274646836</c:v>
                </c:pt>
                <c:pt idx="4">
                  <c:v>124.81732702825693</c:v>
                </c:pt>
                <c:pt idx="5">
                  <c:v>119.00575066228203</c:v>
                </c:pt>
                <c:pt idx="6">
                  <c:v>114.07879042851694</c:v>
                </c:pt>
                <c:pt idx="7">
                  <c:v>109.80262874441674</c:v>
                </c:pt>
                <c:pt idx="8">
                  <c:v>106.02709078927177</c:v>
                </c:pt>
                <c:pt idx="9">
                  <c:v>102.64947736739566</c:v>
                </c:pt>
                <c:pt idx="10">
                  <c:v>99.596207057628433</c:v>
                </c:pt>
                <c:pt idx="11">
                  <c:v>96.812625970489833</c:v>
                </c:pt>
                <c:pt idx="12">
                  <c:v>94.256954684916991</c:v>
                </c:pt>
                <c:pt idx="13">
                  <c:v>91.896495968681009</c:v>
                </c:pt>
                <c:pt idx="14">
                  <c:v>89.705154343779014</c:v>
                </c:pt>
                <c:pt idx="15">
                  <c:v>87.66175492899832</c:v>
                </c:pt>
                <c:pt idx="16">
                  <c:v>85.748869396187558</c:v>
                </c:pt>
                <c:pt idx="17">
                  <c:v>83.951974868823811</c:v>
                </c:pt>
                <c:pt idx="18">
                  <c:v>82.258837909282562</c:v>
                </c:pt>
                <c:pt idx="19">
                  <c:v>80.659054590951143</c:v>
                </c:pt>
                <c:pt idx="20">
                  <c:v>79.143701236447654</c:v>
                </c:pt>
                <c:pt idx="21">
                  <c:v>73.192967712337051</c:v>
                </c:pt>
                <c:pt idx="22">
                  <c:v>78.875227241774127</c:v>
                </c:pt>
                <c:pt idx="23">
                  <c:v>84.557486771211202</c:v>
                </c:pt>
                <c:pt idx="24">
                  <c:v>90.239746300648264</c:v>
                </c:pt>
                <c:pt idx="25">
                  <c:v>95.92200583008534</c:v>
                </c:pt>
                <c:pt idx="26">
                  <c:v>101.6042653595224</c:v>
                </c:pt>
                <c:pt idx="27">
                  <c:v>107.28652488895949</c:v>
                </c:pt>
                <c:pt idx="28">
                  <c:v>112.96878441839655</c:v>
                </c:pt>
                <c:pt idx="29">
                  <c:v>118.65104394783364</c:v>
                </c:pt>
                <c:pt idx="30">
                  <c:v>124.33330347727069</c:v>
                </c:pt>
                <c:pt idx="31">
                  <c:v>130.01556300670779</c:v>
                </c:pt>
                <c:pt idx="32">
                  <c:v>135.69782253614486</c:v>
                </c:pt>
                <c:pt idx="33">
                  <c:v>141.38008206558192</c:v>
                </c:pt>
                <c:pt idx="34">
                  <c:v>147.06234159501901</c:v>
                </c:pt>
                <c:pt idx="35">
                  <c:v>152.7446011244561</c:v>
                </c:pt>
                <c:pt idx="36">
                  <c:v>158.42686065389313</c:v>
                </c:pt>
                <c:pt idx="37">
                  <c:v>164.10912018333022</c:v>
                </c:pt>
                <c:pt idx="38">
                  <c:v>169.79137971276731</c:v>
                </c:pt>
                <c:pt idx="39">
                  <c:v>175.47363924220437</c:v>
                </c:pt>
                <c:pt idx="40">
                  <c:v>181.15589877164143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179.69389732201705</c:v>
                </c:pt>
                <c:pt idx="1">
                  <c:v>153.59475617281703</c:v>
                </c:pt>
                <c:pt idx="2">
                  <c:v>140.84069888898412</c:v>
                </c:pt>
                <c:pt idx="3">
                  <c:v>131.91440307734649</c:v>
                </c:pt>
                <c:pt idx="4">
                  <c:v>124.97135851957442</c:v>
                </c:pt>
                <c:pt idx="5">
                  <c:v>119.27012174913426</c:v>
                </c:pt>
                <c:pt idx="6">
                  <c:v>114.42868978910272</c:v>
                </c:pt>
                <c:pt idx="7">
                  <c:v>110.22150423941967</c:v>
                </c:pt>
                <c:pt idx="8">
                  <c:v>106.50315989681812</c:v>
                </c:pt>
                <c:pt idx="9">
                  <c:v>103.1739536634373</c:v>
                </c:pt>
                <c:pt idx="10">
                  <c:v>100.162305568294</c:v>
                </c:pt>
                <c:pt idx="11">
                  <c:v>97.414963008683685</c:v>
                </c:pt>
                <c:pt idx="12">
                  <c:v>94.891164644432934</c:v>
                </c:pt>
                <c:pt idx="13">
                  <c:v>92.55897536852558</c:v>
                </c:pt>
                <c:pt idx="14">
                  <c:v>90.39288446699338</c:v>
                </c:pt>
                <c:pt idx="15">
                  <c:v>88.372175110623473</c:v>
                </c:pt>
                <c:pt idx="16">
                  <c:v>86.479784131982115</c:v>
                </c:pt>
                <c:pt idx="17">
                  <c:v>84.701484199293574</c:v>
                </c:pt>
                <c:pt idx="18">
                  <c:v>83.025284242498913</c:v>
                </c:pt>
                <c:pt idx="19">
                  <c:v>81.440981400226548</c:v>
                </c:pt>
                <c:pt idx="20">
                  <c:v>79.939820507163446</c:v>
                </c:pt>
                <c:pt idx="21">
                  <c:v>86.927586699236457</c:v>
                </c:pt>
                <c:pt idx="22">
                  <c:v>94.521789894237912</c:v>
                </c:pt>
                <c:pt idx="23">
                  <c:v>102.11599308923937</c:v>
                </c:pt>
                <c:pt idx="24">
                  <c:v>109.71019628424081</c:v>
                </c:pt>
                <c:pt idx="25">
                  <c:v>117.30439947924226</c:v>
                </c:pt>
                <c:pt idx="26">
                  <c:v>124.8986026742437</c:v>
                </c:pt>
                <c:pt idx="27">
                  <c:v>132.49280586924516</c:v>
                </c:pt>
                <c:pt idx="28">
                  <c:v>140.08700906424662</c:v>
                </c:pt>
                <c:pt idx="29">
                  <c:v>147.68121225924807</c:v>
                </c:pt>
                <c:pt idx="30">
                  <c:v>155.2754154542495</c:v>
                </c:pt>
                <c:pt idx="31">
                  <c:v>162.86961864925098</c:v>
                </c:pt>
                <c:pt idx="32">
                  <c:v>170.46382184425244</c:v>
                </c:pt>
                <c:pt idx="33">
                  <c:v>178.05802503925389</c:v>
                </c:pt>
                <c:pt idx="34">
                  <c:v>185.65222823425535</c:v>
                </c:pt>
                <c:pt idx="35">
                  <c:v>193.2464314292568</c:v>
                </c:pt>
                <c:pt idx="36">
                  <c:v>200.84063462425826</c:v>
                </c:pt>
                <c:pt idx="37">
                  <c:v>208.43483781925971</c:v>
                </c:pt>
                <c:pt idx="38">
                  <c:v>216.02904101426111</c:v>
                </c:pt>
                <c:pt idx="39">
                  <c:v>223.62324420926257</c:v>
                </c:pt>
                <c:pt idx="40">
                  <c:v>231.21744740426402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199.82843710814097</c:v>
                </c:pt>
                <c:pt idx="1">
                  <c:v>161.01996975687786</c:v>
                </c:pt>
                <c:pt idx="2">
                  <c:v>147.96484928581665</c:v>
                </c:pt>
                <c:pt idx="3">
                  <c:v>139.01717660506307</c:v>
                </c:pt>
                <c:pt idx="4">
                  <c:v>132.09574406938628</c:v>
                </c:pt>
                <c:pt idx="5">
                  <c:v>126.41851858387621</c:v>
                </c:pt>
                <c:pt idx="6">
                  <c:v>121.59448473228443</c:v>
                </c:pt>
                <c:pt idx="7">
                  <c:v>117.39658095485504</c:v>
                </c:pt>
                <c:pt idx="8">
                  <c:v>113.67992868591531</c:v>
                </c:pt>
                <c:pt idx="9">
                  <c:v>110.34584747621263</c:v>
                </c:pt>
                <c:pt idx="10">
                  <c:v>107.32380786154592</c:v>
                </c:pt>
                <c:pt idx="11">
                  <c:v>104.56149749333076</c:v>
                </c:pt>
                <c:pt idx="12">
                  <c:v>102.01895626728221</c:v>
                </c:pt>
                <c:pt idx="13">
                  <c:v>99.664918572834125</c:v>
                </c:pt>
                <c:pt idx="14">
                  <c:v>97.474429018486774</c:v>
                </c:pt>
                <c:pt idx="15">
                  <c:v>95.427230643651257</c:v>
                </c:pt>
                <c:pt idx="16">
                  <c:v>93.506641545046051</c:v>
                </c:pt>
                <c:pt idx="17">
                  <c:v>91.698751282722327</c:v>
                </c:pt>
                <c:pt idx="18">
                  <c:v>89.991832998466549</c:v>
                </c:pt>
                <c:pt idx="19">
                  <c:v>88.375904852496134</c:v>
                </c:pt>
                <c:pt idx="20">
                  <c:v>86.842397178933624</c:v>
                </c:pt>
                <c:pt idx="21">
                  <c:v>76.80459305615706</c:v>
                </c:pt>
                <c:pt idx="22">
                  <c:v>73.101717865817193</c:v>
                </c:pt>
                <c:pt idx="23">
                  <c:v>77.520952131299154</c:v>
                </c:pt>
                <c:pt idx="24">
                  <c:v>81.940186396781115</c:v>
                </c:pt>
                <c:pt idx="25">
                  <c:v>86.359420662263091</c:v>
                </c:pt>
                <c:pt idx="26">
                  <c:v>90.778654927745052</c:v>
                </c:pt>
                <c:pt idx="27">
                  <c:v>95.197889193227027</c:v>
                </c:pt>
                <c:pt idx="28">
                  <c:v>99.617123458708988</c:v>
                </c:pt>
                <c:pt idx="29">
                  <c:v>104.03635772419096</c:v>
                </c:pt>
                <c:pt idx="30">
                  <c:v>108.45559198967294</c:v>
                </c:pt>
                <c:pt idx="31">
                  <c:v>112.87482625515491</c:v>
                </c:pt>
                <c:pt idx="32">
                  <c:v>117.29406052063689</c:v>
                </c:pt>
                <c:pt idx="33">
                  <c:v>121.71329478611885</c:v>
                </c:pt>
                <c:pt idx="34">
                  <c:v>126.13252905160083</c:v>
                </c:pt>
                <c:pt idx="35">
                  <c:v>130.55176331708282</c:v>
                </c:pt>
                <c:pt idx="36">
                  <c:v>134.97099758256476</c:v>
                </c:pt>
                <c:pt idx="37">
                  <c:v>139.39023184804677</c:v>
                </c:pt>
                <c:pt idx="38">
                  <c:v>143.80946611352871</c:v>
                </c:pt>
                <c:pt idx="39">
                  <c:v>148.22870037901066</c:v>
                </c:pt>
                <c:pt idx="40">
                  <c:v>152.64793464449264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рассогласованности </a:t>
            </a:r>
            <a:r>
              <a:rPr lang="en-US"/>
              <a:t>PVT </a:t>
            </a:r>
            <a:r>
              <a:rPr lang="ru-RU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0.90,  γo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0.10661738597748292</c:v>
                </c:pt>
                <c:pt idx="1">
                  <c:v>0.17545597464793267</c:v>
                </c:pt>
                <c:pt idx="2">
                  <c:v>7.7370469049964169E-2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0.88,  γo new 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0.11520173556035357</c:v>
                </c:pt>
                <c:pt idx="1">
                  <c:v>0.15949021827522999</c:v>
                </c:pt>
                <c:pt idx="2">
                  <c:v>8.8539690477160468E-2</c:v>
                </c:pt>
                <c:pt idx="3">
                  <c:v>0</c:v>
                </c:pt>
                <c:pt idx="4">
                  <c:v>2.4397205505995875E-2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Доля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0.96697858897638356</c:v>
                </c:pt>
                <c:pt idx="1">
                  <c:v>0.95180896485901012</c:v>
                </c:pt>
                <c:pt idx="2">
                  <c:v>0.93726610482551453</c:v>
                </c:pt>
                <c:pt idx="3">
                  <c:v>0.92272428055623579</c:v>
                </c:pt>
                <c:pt idx="4">
                  <c:v>0.90818380381578512</c:v>
                </c:pt>
                <c:pt idx="5">
                  <c:v>0.89366795628844398</c:v>
                </c:pt>
                <c:pt idx="6">
                  <c:v>0.87920076667579583</c:v>
                </c:pt>
                <c:pt idx="7">
                  <c:v>0.86480370895308278</c:v>
                </c:pt>
                <c:pt idx="8">
                  <c:v>0.85049536224535927</c:v>
                </c:pt>
                <c:pt idx="9">
                  <c:v>0.83629166255466625</c:v>
                </c:pt>
                <c:pt idx="10">
                  <c:v>0.82220624775894413</c:v>
                </c:pt>
                <c:pt idx="11">
                  <c:v>0.80825077917220012</c:v>
                </c:pt>
                <c:pt idx="12">
                  <c:v>0.79443521668643791</c:v>
                </c:pt>
                <c:pt idx="13">
                  <c:v>0.78076804883789996</c:v>
                </c:pt>
                <c:pt idx="14">
                  <c:v>0.7672564846620693</c:v>
                </c:pt>
                <c:pt idx="15">
                  <c:v>0.75390661446784413</c:v>
                </c:pt>
                <c:pt idx="16">
                  <c:v>0.74072354560576559</c:v>
                </c:pt>
                <c:pt idx="17">
                  <c:v>0.72771151809308299</c:v>
                </c:pt>
                <c:pt idx="18">
                  <c:v>0.71487400390643085</c:v>
                </c:pt>
                <c:pt idx="19">
                  <c:v>0.7022137929145873</c:v>
                </c:pt>
                <c:pt idx="20">
                  <c:v>0.68973306777676247</c:v>
                </c:pt>
                <c:pt idx="21">
                  <c:v>0.34136183895570577</c:v>
                </c:pt>
                <c:pt idx="22">
                  <c:v>0.16295321673883853</c:v>
                </c:pt>
                <c:pt idx="23">
                  <c:v>6.7484037435745658E-2</c:v>
                </c:pt>
                <c:pt idx="24">
                  <c:v>1.340278531692151E-2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7.86307053943428E-3</c:v>
                </c:pt>
                <c:pt idx="3">
                  <c:v>1.1668662674640088E-2</c:v>
                </c:pt>
                <c:pt idx="4">
                  <c:v>8.0122100122084122E-2</c:v>
                </c:pt>
                <c:pt idx="5">
                  <c:v>3.016101694915275</c:v>
                </c:pt>
                <c:pt idx="6">
                  <c:v>15.051179976162073</c:v>
                </c:pt>
                <c:pt idx="7">
                  <c:v>46.44346057046976</c:v>
                </c:pt>
                <c:pt idx="8">
                  <c:v>97.445298289528594</c:v>
                </c:pt>
                <c:pt idx="9">
                  <c:v>175.19984608807187</c:v>
                </c:pt>
                <c:pt idx="10">
                  <c:v>275.00345696291112</c:v>
                </c:pt>
                <c:pt idx="11">
                  <c:v>375.11685734463276</c:v>
                </c:pt>
                <c:pt idx="12">
                  <c:v>484.78049999999996</c:v>
                </c:pt>
                <c:pt idx="13">
                  <c:v>594.78874722016303</c:v>
                </c:pt>
                <c:pt idx="14">
                  <c:v>704.8859409594096</c:v>
                </c:pt>
                <c:pt idx="15">
                  <c:v>814.9342163355409</c:v>
                </c:pt>
                <c:pt idx="16">
                  <c:v>925.01831111111107</c:v>
                </c:pt>
                <c:pt idx="17">
                  <c:v>1035.0249798115747</c:v>
                </c:pt>
                <c:pt idx="18">
                  <c:v>1145.2222533333334</c:v>
                </c:pt>
                <c:pt idx="19">
                  <c:v>1255.2833602693602</c:v>
                </c:pt>
                <c:pt idx="20">
                  <c:v>1366.83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220.49213692946057</c:v>
                </c:pt>
                <c:pt idx="3">
                  <c:v>330.73833133732535</c:v>
                </c:pt>
                <c:pt idx="4">
                  <c:v>440.91987789987792</c:v>
                </c:pt>
                <c:pt idx="5">
                  <c:v>548.23389830508472</c:v>
                </c:pt>
                <c:pt idx="6">
                  <c:v>646.44882002383792</c:v>
                </c:pt>
                <c:pt idx="7">
                  <c:v>725.30653942953029</c:v>
                </c:pt>
                <c:pt idx="8">
                  <c:v>784.55470171047136</c:v>
                </c:pt>
                <c:pt idx="9">
                  <c:v>817.05015391192819</c:v>
                </c:pt>
                <c:pt idx="10">
                  <c:v>827.49654303708894</c:v>
                </c:pt>
                <c:pt idx="11">
                  <c:v>837.63314265536724</c:v>
                </c:pt>
                <c:pt idx="12">
                  <c:v>838.21950000000004</c:v>
                </c:pt>
                <c:pt idx="13">
                  <c:v>838.46125277983697</c:v>
                </c:pt>
                <c:pt idx="14">
                  <c:v>838.6140590405904</c:v>
                </c:pt>
                <c:pt idx="15">
                  <c:v>838.8157836644591</c:v>
                </c:pt>
                <c:pt idx="16">
                  <c:v>838.98168888888893</c:v>
                </c:pt>
                <c:pt idx="17">
                  <c:v>839.22502018842533</c:v>
                </c:pt>
                <c:pt idx="18">
                  <c:v>839.27774666666664</c:v>
                </c:pt>
                <c:pt idx="19">
                  <c:v>839.46663973063971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0</c:v>
                </c:pt>
                <c:pt idx="1">
                  <c:v>0.79999999999999993</c:v>
                </c:pt>
                <c:pt idx="2">
                  <c:v>1.5999999999999999</c:v>
                </c:pt>
                <c:pt idx="3">
                  <c:v>2.4</c:v>
                </c:pt>
                <c:pt idx="4">
                  <c:v>3.1999999999999997</c:v>
                </c:pt>
                <c:pt idx="5">
                  <c:v>4</c:v>
                </c:pt>
                <c:pt idx="6">
                  <c:v>4.8</c:v>
                </c:pt>
                <c:pt idx="7">
                  <c:v>5.6</c:v>
                </c:pt>
                <c:pt idx="8">
                  <c:v>6.3999999999999995</c:v>
                </c:pt>
                <c:pt idx="9">
                  <c:v>7.2</c:v>
                </c:pt>
                <c:pt idx="10">
                  <c:v>8</c:v>
                </c:pt>
                <c:pt idx="11">
                  <c:v>8.8000000000000007</c:v>
                </c:pt>
                <c:pt idx="12">
                  <c:v>9.6</c:v>
                </c:pt>
                <c:pt idx="13">
                  <c:v>10.399999999999999</c:v>
                </c:pt>
                <c:pt idx="14">
                  <c:v>11.2</c:v>
                </c:pt>
                <c:pt idx="15">
                  <c:v>12</c:v>
                </c:pt>
                <c:pt idx="16">
                  <c:v>12.799999999999999</c:v>
                </c:pt>
                <c:pt idx="17">
                  <c:v>13.6</c:v>
                </c:pt>
                <c:pt idx="18">
                  <c:v>14.4</c:v>
                </c:pt>
                <c:pt idx="19">
                  <c:v>15.2</c:v>
                </c:pt>
                <c:pt idx="20">
                  <c:v>16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41.908499999999997</c:v>
                </c:pt>
                <c:pt idx="2">
                  <c:v>83.816999999999993</c:v>
                </c:pt>
                <c:pt idx="3">
                  <c:v>125.72549999999998</c:v>
                </c:pt>
                <c:pt idx="4">
                  <c:v>167.63399999999999</c:v>
                </c:pt>
                <c:pt idx="5">
                  <c:v>209.54249999999999</c:v>
                </c:pt>
                <c:pt idx="6">
                  <c:v>251.45099999999996</c:v>
                </c:pt>
                <c:pt idx="7">
                  <c:v>293.35949999999997</c:v>
                </c:pt>
                <c:pt idx="8">
                  <c:v>335.26799999999997</c:v>
                </c:pt>
                <c:pt idx="9">
                  <c:v>377.17649999999998</c:v>
                </c:pt>
                <c:pt idx="10">
                  <c:v>419.08499999999998</c:v>
                </c:pt>
                <c:pt idx="11">
                  <c:v>460.99349999999998</c:v>
                </c:pt>
                <c:pt idx="12">
                  <c:v>502.90199999999993</c:v>
                </c:pt>
                <c:pt idx="13">
                  <c:v>544.81049999999993</c:v>
                </c:pt>
                <c:pt idx="14">
                  <c:v>586.71899999999994</c:v>
                </c:pt>
                <c:pt idx="15">
                  <c:v>628.62749999999994</c:v>
                </c:pt>
                <c:pt idx="16">
                  <c:v>670.53599999999994</c:v>
                </c:pt>
                <c:pt idx="17">
                  <c:v>712.44449999999995</c:v>
                </c:pt>
                <c:pt idx="18">
                  <c:v>754.35299999999995</c:v>
                </c:pt>
                <c:pt idx="19">
                  <c:v>796.26149999999996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159</c:v>
                </c:pt>
                <c:pt idx="1">
                  <c:v>159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116.05263157894737</c:v>
                </c:pt>
                <c:pt idx="2">
                  <c:v>232.10526315789474</c:v>
                </c:pt>
                <c:pt idx="3">
                  <c:v>348.15789473684208</c:v>
                </c:pt>
                <c:pt idx="4">
                  <c:v>464.21052631578948</c:v>
                </c:pt>
                <c:pt idx="5">
                  <c:v>580.26315789473688</c:v>
                </c:pt>
                <c:pt idx="6">
                  <c:v>696.31578947368416</c:v>
                </c:pt>
                <c:pt idx="7">
                  <c:v>812.36842105263156</c:v>
                </c:pt>
                <c:pt idx="8">
                  <c:v>928.42105263157896</c:v>
                </c:pt>
                <c:pt idx="9">
                  <c:v>1044.4736842105262</c:v>
                </c:pt>
                <c:pt idx="10">
                  <c:v>1160.5263157894738</c:v>
                </c:pt>
                <c:pt idx="11">
                  <c:v>1276.578947368421</c:v>
                </c:pt>
                <c:pt idx="12">
                  <c:v>1392.6315789473683</c:v>
                </c:pt>
                <c:pt idx="13">
                  <c:v>1508.6842105263158</c:v>
                </c:pt>
                <c:pt idx="14">
                  <c:v>1624.7368421052631</c:v>
                </c:pt>
                <c:pt idx="15">
                  <c:v>1740.7894736842106</c:v>
                </c:pt>
                <c:pt idx="16">
                  <c:v>1856.8421052631579</c:v>
                </c:pt>
                <c:pt idx="17">
                  <c:v>1972.8947368421052</c:v>
                </c:pt>
                <c:pt idx="18">
                  <c:v>2088.9473684210525</c:v>
                </c:pt>
                <c:pt idx="19">
                  <c:v>2204.9899999999998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43.684210526315788</c:v>
                </c:pt>
                <c:pt idx="2">
                  <c:v>87.368421052631575</c:v>
                </c:pt>
                <c:pt idx="3">
                  <c:v>131.05263157894737</c:v>
                </c:pt>
                <c:pt idx="4">
                  <c:v>174.73684210526315</c:v>
                </c:pt>
                <c:pt idx="5">
                  <c:v>218.42105263157893</c:v>
                </c:pt>
                <c:pt idx="6">
                  <c:v>262.10526315789474</c:v>
                </c:pt>
                <c:pt idx="7">
                  <c:v>305.78947368421052</c:v>
                </c:pt>
                <c:pt idx="8">
                  <c:v>349.4736842105263</c:v>
                </c:pt>
                <c:pt idx="9">
                  <c:v>393.15789473684208</c:v>
                </c:pt>
                <c:pt idx="10">
                  <c:v>436.84210526315786</c:v>
                </c:pt>
                <c:pt idx="11">
                  <c:v>480.52631578947364</c:v>
                </c:pt>
                <c:pt idx="12">
                  <c:v>524.21052631578948</c:v>
                </c:pt>
                <c:pt idx="13">
                  <c:v>567.8947368421052</c:v>
                </c:pt>
                <c:pt idx="14">
                  <c:v>611.57894736842104</c:v>
                </c:pt>
                <c:pt idx="15">
                  <c:v>655.26315789473676</c:v>
                </c:pt>
                <c:pt idx="16">
                  <c:v>698.9473684210526</c:v>
                </c:pt>
                <c:pt idx="17">
                  <c:v>742.63157894736844</c:v>
                </c:pt>
                <c:pt idx="18">
                  <c:v>786.31578947368416</c:v>
                </c:pt>
                <c:pt idx="19">
                  <c:v>829.99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перепад давления в насосе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00454413346277"/>
          <c:y val="0.14603675077739647"/>
          <c:w val="0.84622480344293372"/>
          <c:h val="0.58906374495816161"/>
        </c:manualLayout>
      </c:layout>
      <c:scatterChart>
        <c:scatterStyle val="lineMarker"/>
        <c:varyColors val="0"/>
        <c:ser>
          <c:idx val="0"/>
          <c:order val="0"/>
          <c:tx>
            <c:strRef>
              <c:f>УЭЦН!$R$6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УЭЦН!$R$8:$R$29</c:f>
              <c:numCache>
                <c:formatCode>General</c:formatCode>
                <c:ptCount val="22"/>
                <c:pt idx="0">
                  <c:v>131.86742816154376</c:v>
                </c:pt>
                <c:pt idx="1">
                  <c:v>128.69652601391331</c:v>
                </c:pt>
                <c:pt idx="2">
                  <c:v>125.93384168030187</c:v>
                </c:pt>
                <c:pt idx="3">
                  <c:v>123.37682839927217</c:v>
                </c:pt>
                <c:pt idx="4">
                  <c:v>120.86378624392424</c:v>
                </c:pt>
                <c:pt idx="5">
                  <c:v>118.26970662495438</c:v>
                </c:pt>
                <c:pt idx="6">
                  <c:v>115.50221841584633</c:v>
                </c:pt>
                <c:pt idx="7">
                  <c:v>112.49760202035125</c:v>
                </c:pt>
                <c:pt idx="8">
                  <c:v>109.21685652622895</c:v>
                </c:pt>
                <c:pt idx="9">
                  <c:v>105.64181664559482</c:v>
                </c:pt>
                <c:pt idx="10">
                  <c:v>101.77132227078434</c:v>
                </c:pt>
                <c:pt idx="11">
                  <c:v>97.61744551274198</c:v>
                </c:pt>
                <c:pt idx="12">
                  <c:v>93.200451766804875</c:v>
                </c:pt>
                <c:pt idx="13">
                  <c:v>88.376219692968135</c:v>
                </c:pt>
                <c:pt idx="14">
                  <c:v>83.235148662821302</c:v>
                </c:pt>
                <c:pt idx="15">
                  <c:v>77.956170933940939</c:v>
                </c:pt>
                <c:pt idx="16">
                  <c:v>72.599715991008438</c:v>
                </c:pt>
                <c:pt idx="17">
                  <c:v>67.187896690035231</c:v>
                </c:pt>
                <c:pt idx="18">
                  <c:v>61.658821720575204</c:v>
                </c:pt>
                <c:pt idx="19">
                  <c:v>55.99213238195162</c:v>
                </c:pt>
                <c:pt idx="20">
                  <c:v>50.179063819183895</c:v>
                </c:pt>
                <c:pt idx="21">
                  <c:v>44.147139356118274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A-4E44-8E6B-7912D6D8F51E}"/>
            </c:ext>
          </c:extLst>
        </c:ser>
        <c:ser>
          <c:idx val="1"/>
          <c:order val="1"/>
          <c:tx>
            <c:strRef>
              <c:f>УЭЦН!$T$6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УЭЦН!$T$8:$T$29</c:f>
              <c:numCache>
                <c:formatCode>General</c:formatCode>
                <c:ptCount val="22"/>
                <c:pt idx="0">
                  <c:v>138.89449989080717</c:v>
                </c:pt>
                <c:pt idx="1">
                  <c:v>135.71739994832413</c:v>
                </c:pt>
                <c:pt idx="2">
                  <c:v>132.95266729616398</c:v>
                </c:pt>
                <c:pt idx="3">
                  <c:v>130.40073113311612</c:v>
                </c:pt>
                <c:pt idx="4">
                  <c:v>127.90054877495913</c:v>
                </c:pt>
                <c:pt idx="5">
                  <c:v>125.3259476877073</c:v>
                </c:pt>
                <c:pt idx="6">
                  <c:v>122.58199239794845</c:v>
                </c:pt>
                <c:pt idx="7">
                  <c:v>119.60139249633175</c:v>
                </c:pt>
                <c:pt idx="8">
                  <c:v>116.34095590667258</c:v>
                </c:pt>
                <c:pt idx="9">
                  <c:v>112.77808308634886</c:v>
                </c:pt>
                <c:pt idx="10">
                  <c:v>108.90729212848962</c:v>
                </c:pt>
                <c:pt idx="11">
                  <c:v>104.73602773586452</c:v>
                </c:pt>
                <c:pt idx="12">
                  <c:v>100.27761087871443</c:v>
                </c:pt>
                <c:pt idx="13">
                  <c:v>95.530886236341928</c:v>
                </c:pt>
                <c:pt idx="14">
                  <c:v>90.418361393837827</c:v>
                </c:pt>
                <c:pt idx="15">
                  <c:v>85.131355409823556</c:v>
                </c:pt>
                <c:pt idx="16">
                  <c:v>79.692819928297212</c:v>
                </c:pt>
                <c:pt idx="17">
                  <c:v>74.075485831122606</c:v>
                </c:pt>
                <c:pt idx="18">
                  <c:v>68.28504644914878</c:v>
                </c:pt>
                <c:pt idx="19">
                  <c:v>62.335524804098753</c:v>
                </c:pt>
                <c:pt idx="20">
                  <c:v>56.03310355723842</c:v>
                </c:pt>
                <c:pt idx="21">
                  <c:v>49.207589343777954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E44-8E6B-7912D6D8F51E}"/>
            </c:ext>
          </c:extLst>
        </c:ser>
        <c:ser>
          <c:idx val="2"/>
          <c:order val="2"/>
          <c:tx>
            <c:strRef>
              <c:f>УЭЦН!$S$6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УЭЦН!$S$8:$S$29</c:f>
              <c:numCache>
                <c:formatCode>General</c:formatCode>
                <c:ptCount val="22"/>
                <c:pt idx="0">
                  <c:v>126.43783711225208</c:v>
                </c:pt>
                <c:pt idx="1">
                  <c:v>123.1610256259539</c:v>
                </c:pt>
                <c:pt idx="2">
                  <c:v>120.30572675513875</c:v>
                </c:pt>
                <c:pt idx="3">
                  <c:v>117.65171432237122</c:v>
                </c:pt>
                <c:pt idx="4">
                  <c:v>115.02601579526112</c:v>
                </c:pt>
                <c:pt idx="5">
                  <c:v>112.29775915557099</c:v>
                </c:pt>
                <c:pt idx="6">
                  <c:v>109.37315443863801</c:v>
                </c:pt>
                <c:pt idx="7">
                  <c:v>106.19057256539341</c:v>
                </c:pt>
                <c:pt idx="8">
                  <c:v>102.71570634775148</c:v>
                </c:pt>
                <c:pt idx="9">
                  <c:v>98.936812146940923</c:v>
                </c:pt>
                <c:pt idx="10">
                  <c:v>94.860037688191071</c:v>
                </c:pt>
                <c:pt idx="11">
                  <c:v>90.504843740632268</c:v>
                </c:pt>
                <c:pt idx="12">
                  <c:v>85.839198469542822</c:v>
                </c:pt>
                <c:pt idx="13">
                  <c:v>80.585918945522039</c:v>
                </c:pt>
                <c:pt idx="14">
                  <c:v>75.201421634691826</c:v>
                </c:pt>
                <c:pt idx="15">
                  <c:v>69.73603475955187</c:v>
                </c:pt>
                <c:pt idx="16">
                  <c:v>64.299505122176967</c:v>
                </c:pt>
                <c:pt idx="17">
                  <c:v>58.77672176159497</c:v>
                </c:pt>
                <c:pt idx="18">
                  <c:v>53.153582296165339</c:v>
                </c:pt>
                <c:pt idx="19">
                  <c:v>47.413500971476168</c:v>
                </c:pt>
                <c:pt idx="20">
                  <c:v>41.510650820728785</c:v>
                </c:pt>
                <c:pt idx="21">
                  <c:v>35.356502689389458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E44-8E6B-7912D6D8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dP,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КПД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УЭЦН!$U$6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УЭЦН!$U$8:$U$29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D-4CD5-9247-078CBFF0C797}"/>
            </c:ext>
          </c:extLst>
        </c:ser>
        <c:ser>
          <c:idx val="1"/>
          <c:order val="1"/>
          <c:tx>
            <c:strRef>
              <c:f>УЭЦН!$W$6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УЭЦН!$W$8:$W$29</c:f>
              <c:numCache>
                <c:formatCode>General</c:formatCode>
                <c:ptCount val="22"/>
                <c:pt idx="0">
                  <c:v>5.2629046601503221E-3</c:v>
                </c:pt>
                <c:pt idx="1">
                  <c:v>8.0483263810547698E-2</c:v>
                </c:pt>
                <c:pt idx="2">
                  <c:v>0.15395190029536152</c:v>
                </c:pt>
                <c:pt idx="3">
                  <c:v>0.22449103351945282</c:v>
                </c:pt>
                <c:pt idx="4">
                  <c:v>0.29070961791266431</c:v>
                </c:pt>
                <c:pt idx="5">
                  <c:v>0.35130412344413298</c:v>
                </c:pt>
                <c:pt idx="6">
                  <c:v>0.40528252454525976</c:v>
                </c:pt>
                <c:pt idx="7">
                  <c:v>0.45208179001009824</c:v>
                </c:pt>
                <c:pt idx="8">
                  <c:v>0.49158104279011638</c:v>
                </c:pt>
                <c:pt idx="9">
                  <c:v>0.52403710161304473</c:v>
                </c:pt>
                <c:pt idx="10">
                  <c:v>0.54997823712664096</c:v>
                </c:pt>
                <c:pt idx="11">
                  <c:v>0.57008438191183464</c:v>
                </c:pt>
                <c:pt idx="12">
                  <c:v>0.58505955304702129</c:v>
                </c:pt>
                <c:pt idx="13">
                  <c:v>0.59541987931096596</c:v>
                </c:pt>
                <c:pt idx="14">
                  <c:v>0.60101298217157029</c:v>
                </c:pt>
                <c:pt idx="15">
                  <c:v>0.60316397785011633</c:v>
                </c:pt>
                <c:pt idx="16">
                  <c:v>0.60201997716604028</c:v>
                </c:pt>
                <c:pt idx="17">
                  <c:v>0.5976627925823168</c:v>
                </c:pt>
                <c:pt idx="18">
                  <c:v>0.58911433424562076</c:v>
                </c:pt>
                <c:pt idx="19">
                  <c:v>0.57511633340514812</c:v>
                </c:pt>
                <c:pt idx="20">
                  <c:v>0.55318655353454227</c:v>
                </c:pt>
                <c:pt idx="21">
                  <c:v>0.51895116494796822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D-4CD5-9247-078CBFF0C797}"/>
            </c:ext>
          </c:extLst>
        </c:ser>
        <c:ser>
          <c:idx val="2"/>
          <c:order val="2"/>
          <c:tx>
            <c:strRef>
              <c:f>УЭЦН!$V$6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УЭЦН!$V$8:$V$29</c:f>
              <c:numCache>
                <c:formatCode>General</c:formatCode>
                <c:ptCount val="22"/>
                <c:pt idx="0">
                  <c:v>4.226366112341875E-3</c:v>
                </c:pt>
                <c:pt idx="1">
                  <c:v>6.4436779715202952E-2</c:v>
                </c:pt>
                <c:pt idx="2">
                  <c:v>0.12279724942599768</c:v>
                </c:pt>
                <c:pt idx="3">
                  <c:v>0.17819939749250505</c:v>
                </c:pt>
                <c:pt idx="4">
                  <c:v>0.22937583364228531</c:v>
                </c:pt>
                <c:pt idx="5">
                  <c:v>0.27521269549254379</c:v>
                </c:pt>
                <c:pt idx="6">
                  <c:v>0.31495938365728166</c:v>
                </c:pt>
                <c:pt idx="7">
                  <c:v>0.34831084267499413</c:v>
                </c:pt>
                <c:pt idx="8">
                  <c:v>0.37537873726777182</c:v>
                </c:pt>
                <c:pt idx="9">
                  <c:v>0.39659276697440216</c:v>
                </c:pt>
                <c:pt idx="10">
                  <c:v>0.41257593281896277</c:v>
                </c:pt>
                <c:pt idx="11">
                  <c:v>0.42402513239448175</c:v>
                </c:pt>
                <c:pt idx="12">
                  <c:v>0.43131271876032645</c:v>
                </c:pt>
                <c:pt idx="13">
                  <c:v>0.43329493604741443</c:v>
                </c:pt>
                <c:pt idx="14">
                  <c:v>0.43236350119549316</c:v>
                </c:pt>
                <c:pt idx="15">
                  <c:v>0.42885530697741248</c:v>
                </c:pt>
                <c:pt idx="16">
                  <c:v>0.42330206373137674</c:v>
                </c:pt>
                <c:pt idx="17">
                  <c:v>0.41456695207637528</c:v>
                </c:pt>
                <c:pt idx="18">
                  <c:v>0.40176458683904409</c:v>
                </c:pt>
                <c:pt idx="19">
                  <c:v>0.38358342942488699</c:v>
                </c:pt>
                <c:pt idx="20">
                  <c:v>0.35817640421777186</c:v>
                </c:pt>
                <c:pt idx="21">
                  <c:v>0.3231753595889858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D-4CD5-9247-078CBFF0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 мощность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УЭЦН!$X$6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УЭЦН!$X$8:$X$29</c:f>
              <c:numCache>
                <c:formatCode>General</c:formatCode>
                <c:ptCount val="22"/>
                <c:pt idx="0">
                  <c:v>34.021789743915477</c:v>
                </c:pt>
                <c:pt idx="1">
                  <c:v>33.507845307236657</c:v>
                </c:pt>
                <c:pt idx="2">
                  <c:v>33.219358761773933</c:v>
                </c:pt>
                <c:pt idx="3">
                  <c:v>33.165193014564899</c:v>
                </c:pt>
                <c:pt idx="4">
                  <c:v>33.338568635908253</c:v>
                </c:pt>
                <c:pt idx="5">
                  <c:v>33.719401862158705</c:v>
                </c:pt>
                <c:pt idx="6">
                  <c:v>34.276692322167229</c:v>
                </c:pt>
                <c:pt idx="7">
                  <c:v>34.970958814626663</c:v>
                </c:pt>
                <c:pt idx="8">
                  <c:v>35.756708859795239</c:v>
                </c:pt>
                <c:pt idx="9">
                  <c:v>36.584921248556547</c:v>
                </c:pt>
                <c:pt idx="10">
                  <c:v>37.405519577618485</c:v>
                </c:pt>
                <c:pt idx="11">
                  <c:v>38.169817784012814</c:v>
                </c:pt>
                <c:pt idx="12">
                  <c:v>38.832881647641713</c:v>
                </c:pt>
                <c:pt idx="13">
                  <c:v>39.354140764139721</c:v>
                </c:pt>
                <c:pt idx="14">
                  <c:v>39.704197970550908</c:v>
                </c:pt>
                <c:pt idx="15">
                  <c:v>39.865089939157038</c:v>
                </c:pt>
                <c:pt idx="16">
                  <c:v>39.830683129505744</c:v>
                </c:pt>
                <c:pt idx="17">
                  <c:v>39.609610380984286</c:v>
                </c:pt>
                <c:pt idx="18">
                  <c:v>39.224893111845738</c:v>
                </c:pt>
                <c:pt idx="19">
                  <c:v>38.71987334412654</c:v>
                </c:pt>
                <c:pt idx="20">
                  <c:v>38.167293712290231</c:v>
                </c:pt>
                <c:pt idx="21">
                  <c:v>37.656555765476369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8-46A4-856B-B66ACC49762F}"/>
            </c:ext>
          </c:extLst>
        </c:ser>
        <c:ser>
          <c:idx val="1"/>
          <c:order val="1"/>
          <c:tx>
            <c:strRef>
              <c:f>УЭЦН!$Z$6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УЭЦН!$Z$8:$Z$29</c:f>
              <c:numCache>
                <c:formatCode>General</c:formatCode>
                <c:ptCount val="22"/>
                <c:pt idx="0">
                  <c:v>31.861437938066331</c:v>
                </c:pt>
                <c:pt idx="1">
                  <c:v>31.386300460749581</c:v>
                </c:pt>
                <c:pt idx="2">
                  <c:v>31.110915261987707</c:v>
                </c:pt>
                <c:pt idx="3">
                  <c:v>31.043319838513348</c:v>
                </c:pt>
                <c:pt idx="4">
                  <c:v>31.178302055769198</c:v>
                </c:pt>
                <c:pt idx="5">
                  <c:v>31.499317870939624</c:v>
                </c:pt>
                <c:pt idx="6">
                  <c:v>31.980424815954191</c:v>
                </c:pt>
                <c:pt idx="7">
                  <c:v>32.588239491627583</c:v>
                </c:pt>
                <c:pt idx="8">
                  <c:v>33.283920850665453</c:v>
                </c:pt>
                <c:pt idx="9">
                  <c:v>34.025176777220786</c:v>
                </c:pt>
                <c:pt idx="10">
                  <c:v>34.768289116716403</c:v>
                </c:pt>
                <c:pt idx="11">
                  <c:v>35.470101949882562</c:v>
                </c:pt>
                <c:pt idx="12">
                  <c:v>36.089900435458183</c:v>
                </c:pt>
                <c:pt idx="13">
                  <c:v>36.591839659477969</c:v>
                </c:pt>
                <c:pt idx="14">
                  <c:v>36.946049007449112</c:v>
                </c:pt>
                <c:pt idx="15">
                  <c:v>37.134022903286244</c:v>
                </c:pt>
                <c:pt idx="16">
                  <c:v>37.146455417545852</c:v>
                </c:pt>
                <c:pt idx="17">
                  <c:v>36.967636990929378</c:v>
                </c:pt>
                <c:pt idx="18">
                  <c:v>36.624051997759302</c:v>
                </c:pt>
                <c:pt idx="19">
                  <c:v>36.160941132405441</c:v>
                </c:pt>
                <c:pt idx="20">
                  <c:v>35.601418786243592</c:v>
                </c:pt>
                <c:pt idx="21">
                  <c:v>35.029494006237627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88-46A4-856B-B66ACC49762F}"/>
            </c:ext>
          </c:extLst>
        </c:ser>
        <c:ser>
          <c:idx val="2"/>
          <c:order val="2"/>
          <c:tx>
            <c:strRef>
              <c:f>УЭЦН!$Y$6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УЭЦН!$Y$8:$Y$29</c:f>
              <c:numCache>
                <c:formatCode>General</c:formatCode>
                <c:ptCount val="22"/>
                <c:pt idx="0">
                  <c:v>37.285157513085203</c:v>
                </c:pt>
                <c:pt idx="1">
                  <c:v>36.717493503167304</c:v>
                </c:pt>
                <c:pt idx="2">
                  <c:v>36.419816012763356</c:v>
                </c:pt>
                <c:pt idx="3">
                  <c:v>36.403277203860149</c:v>
                </c:pt>
                <c:pt idx="4">
                  <c:v>36.658281834640469</c:v>
                </c:pt>
                <c:pt idx="5">
                  <c:v>37.157813017116446</c:v>
                </c:pt>
                <c:pt idx="6">
                  <c:v>37.860805129665707</c:v>
                </c:pt>
                <c:pt idx="7">
                  <c:v>38.715559090975731</c:v>
                </c:pt>
                <c:pt idx="8">
                  <c:v>39.663182530804896</c:v>
                </c:pt>
                <c:pt idx="9">
                  <c:v>40.641031788617234</c:v>
                </c:pt>
                <c:pt idx="10">
                  <c:v>41.586132891938561</c:v>
                </c:pt>
                <c:pt idx="11">
                  <c:v>42.438563250213178</c:v>
                </c:pt>
                <c:pt idx="12">
                  <c:v>43.144378304606832</c:v>
                </c:pt>
                <c:pt idx="13">
                  <c:v>43.657785668563989</c:v>
                </c:pt>
                <c:pt idx="14">
                  <c:v>43.950686469865609</c:v>
                </c:pt>
                <c:pt idx="15">
                  <c:v>44.008332832371643</c:v>
                </c:pt>
                <c:pt idx="16">
                  <c:v>43.835468817592677</c:v>
                </c:pt>
                <c:pt idx="17">
                  <c:v>43.457995280585592</c:v>
                </c:pt>
                <c:pt idx="18">
                  <c:v>42.92722660664802</c:v>
                </c:pt>
                <c:pt idx="19">
                  <c:v>42.324380559072175</c:v>
                </c:pt>
                <c:pt idx="20">
                  <c:v>41.762242839901845</c:v>
                </c:pt>
                <c:pt idx="21">
                  <c:v>41.387664997267564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88-46A4-856B-B66ACC49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</a:t>
                </a:r>
              </a:p>
            </c:rich>
          </c:tx>
          <c:layout>
            <c:manualLayout>
              <c:xMode val="edge"/>
              <c:yMode val="edge"/>
              <c:x val="3.2177166511423931E-2"/>
              <c:y val="0.3476390476945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39-433F-B416-4D1FCC7B1BEB}"/>
            </c:ext>
          </c:extLst>
        </c:ser>
        <c:ser>
          <c:idx val="3"/>
          <c:order val="3"/>
          <c:tx>
            <c:strRef>
              <c:f>УЭЦН!$N$7</c:f>
              <c:strCache>
                <c:ptCount val="1"/>
                <c:pt idx="0">
                  <c:v>КПД при 300 сСт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УЭЦН!$N$8:$N$29</c:f>
              <c:numCache>
                <c:formatCode>General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scatterChart>
        <c:scatterStyle val="smooth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625.28071921646654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39-433F-B416-4D1FCC7B1BEB}"/>
            </c:ext>
          </c:extLst>
        </c:ser>
        <c:ser>
          <c:idx val="1"/>
          <c:order val="2"/>
          <c:tx>
            <c:strRef>
              <c:f>УЭЦН!$L$7</c:f>
              <c:strCache>
                <c:ptCount val="1"/>
                <c:pt idx="0">
                  <c:v>Напор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УЭЦН!$L$8:$L$29</c:f>
              <c:numCache>
                <c:formatCode>General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50232"/>
        <c:axId val="611546624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д.ед.</a:t>
                </a:r>
              </a:p>
              <a:p>
                <a:pPr>
                  <a:defRPr/>
                </a:pP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valAx>
        <c:axId val="611546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1550232"/>
        <c:crosses val="max"/>
        <c:crossBetween val="midCat"/>
      </c:valAx>
      <c:valAx>
        <c:axId val="61155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5466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35-4506-83FB-A88B797FB256}"/>
            </c:ext>
          </c:extLst>
        </c:ser>
        <c:ser>
          <c:idx val="1"/>
          <c:order val="1"/>
          <c:tx>
            <c:strRef>
              <c:f>УЭЦН!$M$7</c:f>
              <c:strCache>
                <c:ptCount val="1"/>
                <c:pt idx="0">
                  <c:v>Мощность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УЭЦН!$M$8:$M$29</c:f>
              <c:numCache>
                <c:formatCode>General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35-4506-83FB-A88B797F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Скважина_расчет!$S$17:$S$37</c:f>
              <c:numCache>
                <c:formatCode>General</c:formatCode>
                <c:ptCount val="21"/>
                <c:pt idx="0">
                  <c:v>0.92851833971032594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0.99967282289189208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Скважина_расчет!$R$17:$R$37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layout>
        <c:manualLayout>
          <c:xMode val="edge"/>
          <c:yMode val="edge"/>
          <c:x val="0.15948871961430511"/>
          <c:y val="2.1244542076404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448244230537607"/>
          <c:y val="0.12828388342948194"/>
          <c:w val="0.81595107199824035"/>
          <c:h val="0.7864126681167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Скважина_расчет!$N$15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Скважина_расчет!$O$17:$O$37</c:f>
              <c:numCache>
                <c:formatCode>General</c:formatCode>
                <c:ptCount val="21"/>
                <c:pt idx="0">
                  <c:v>27.171848839576359</c:v>
                </c:pt>
                <c:pt idx="1">
                  <c:v>40.035298433502696</c:v>
                </c:pt>
                <c:pt idx="2">
                  <c:v>53.006883469258646</c:v>
                </c:pt>
                <c:pt idx="3">
                  <c:v>65.93549672222467</c:v>
                </c:pt>
                <c:pt idx="4">
                  <c:v>78.725158931322426</c:v>
                </c:pt>
                <c:pt idx="5">
                  <c:v>90.773984987532117</c:v>
                </c:pt>
                <c:pt idx="6">
                  <c:v>101.09187846708616</c:v>
                </c:pt>
                <c:pt idx="7">
                  <c:v>107.53935910181501</c:v>
                </c:pt>
                <c:pt idx="8">
                  <c:v>30.307692304088036</c:v>
                </c:pt>
                <c:pt idx="9">
                  <c:v>31.471051658376446</c:v>
                </c:pt>
                <c:pt idx="10">
                  <c:v>35.593788087082913</c:v>
                </c:pt>
                <c:pt idx="11">
                  <c:v>37.250985995016173</c:v>
                </c:pt>
                <c:pt idx="12">
                  <c:v>38.273549898001839</c:v>
                </c:pt>
                <c:pt idx="13">
                  <c:v>38.465424206710587</c:v>
                </c:pt>
                <c:pt idx="14">
                  <c:v>38.573327369725895</c:v>
                </c:pt>
                <c:pt idx="15">
                  <c:v>38.663250976858066</c:v>
                </c:pt>
                <c:pt idx="16">
                  <c:v>38.755867430903749</c:v>
                </c:pt>
                <c:pt idx="17">
                  <c:v>38.854085086037259</c:v>
                </c:pt>
                <c:pt idx="18">
                  <c:v>38.948895890970611</c:v>
                </c:pt>
                <c:pt idx="19">
                  <c:v>39.041048535879362</c:v>
                </c:pt>
                <c:pt idx="20">
                  <c:v>39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Скважина_расчет!$H$15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Скважина_расчет!$I$17:$I$37</c:f>
              <c:numCache>
                <c:formatCode>General</c:formatCode>
                <c:ptCount val="21"/>
                <c:pt idx="0">
                  <c:v>32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tx>
            <c:v>Фактические замеры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E3C8DFEF-ADBA-4030-9F3F-322FF200877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0E7C839-1BF5-419E-B2C8-606A6AE7438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5FDFACC-C8EA-43E0-A4AF-12A5BEC5CA34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59C009-6EE9-4DA5-B2F0-9188D1AB7E3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CF967C-FC9D-440C-972C-44A4829A4E7F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26909DF-3832-4C05-8F16-AE556B04C7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Скважина_расчет!$V$17:$V$19</c:f>
              <c:numCache>
                <c:formatCode>0</c:formatCode>
                <c:ptCount val="3"/>
                <c:pt idx="0">
                  <c:v>20.909586802330246</c:v>
                </c:pt>
                <c:pt idx="1">
                  <c:v>27.171848839576359</c:v>
                </c:pt>
                <c:pt idx="2">
                  <c:v>39</c:v>
                </c:pt>
              </c:numCache>
            </c:numRef>
          </c:xVal>
          <c:yVal>
            <c:numRef>
              <c:f>Скважина_расчет!$U$17:$U$19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Скважина_расчет!$P$11:$P$13</c15:f>
                <c15:dlblRangeCache>
                  <c:ptCount val="3"/>
                  <c:pt idx="0">
                    <c:v>Р лин.</c:v>
                  </c:pt>
                  <c:pt idx="1">
                    <c:v>P буф.</c:v>
                  </c:pt>
                  <c:pt idx="2">
                    <c:v>P заб.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tx>
            <c:v>Затрубное пространство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Скважина_расчет!$X$17:$X$37</c:f>
              <c:numCache>
                <c:formatCode>General</c:formatCode>
                <c:ptCount val="2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27.716441364583854</c:v>
                </c:pt>
                <c:pt idx="20">
                  <c:v>30.307692304088032</c:v>
                </c:pt>
              </c:numCache>
            </c:numRef>
          </c:xVal>
          <c:yVal>
            <c:numRef>
              <c:f>Скважина_расчет!$W$17:$W$37</c:f>
              <c:numCache>
                <c:formatCode>General</c:formatCode>
                <c:ptCount val="21"/>
                <c:pt idx="0">
                  <c:v>0</c:v>
                </c:pt>
                <c:pt idx="1">
                  <c:v>41.55</c:v>
                </c:pt>
                <c:pt idx="2">
                  <c:v>83.1</c:v>
                </c:pt>
                <c:pt idx="3">
                  <c:v>124.64999999999999</c:v>
                </c:pt>
                <c:pt idx="4">
                  <c:v>166.2</c:v>
                </c:pt>
                <c:pt idx="5">
                  <c:v>207.75</c:v>
                </c:pt>
                <c:pt idx="6">
                  <c:v>249.29999999999998</c:v>
                </c:pt>
                <c:pt idx="7">
                  <c:v>290.84999999999997</c:v>
                </c:pt>
                <c:pt idx="8">
                  <c:v>332.4</c:v>
                </c:pt>
                <c:pt idx="9">
                  <c:v>373.95</c:v>
                </c:pt>
                <c:pt idx="10">
                  <c:v>415.5</c:v>
                </c:pt>
                <c:pt idx="11">
                  <c:v>457.04999999999995</c:v>
                </c:pt>
                <c:pt idx="12">
                  <c:v>498.59999999999997</c:v>
                </c:pt>
                <c:pt idx="13">
                  <c:v>540.15</c:v>
                </c:pt>
                <c:pt idx="14">
                  <c:v>581.69999999999993</c:v>
                </c:pt>
                <c:pt idx="15">
                  <c:v>623.25</c:v>
                </c:pt>
                <c:pt idx="16">
                  <c:v>664.8</c:v>
                </c:pt>
                <c:pt idx="17">
                  <c:v>706.34999999999991</c:v>
                </c:pt>
                <c:pt idx="18">
                  <c:v>747.9</c:v>
                </c:pt>
                <c:pt idx="19">
                  <c:v>789.44999999999993</c:v>
                </c:pt>
                <c:pt idx="20">
                  <c:v>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>
            <c:manualLayout>
              <c:xMode val="edge"/>
              <c:yMode val="edge"/>
              <c:x val="5.5101655218788344E-3"/>
              <c:y val="0.39327569304430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5700667907236"/>
          <c:y val="0.93307170847653131"/>
          <c:w val="0.7506108432810743"/>
          <c:h val="5.2966277773479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Скважина_расчет!$Q$17:$Q$37</c:f>
              <c:numCache>
                <c:formatCode>General</c:formatCode>
                <c:ptCount val="21"/>
                <c:pt idx="0">
                  <c:v>22.529268365778066</c:v>
                </c:pt>
                <c:pt idx="1">
                  <c:v>24.615086542658592</c:v>
                </c:pt>
                <c:pt idx="2">
                  <c:v>26.689266527428654</c:v>
                </c:pt>
                <c:pt idx="3">
                  <c:v>28.73833284428321</c:v>
                </c:pt>
                <c:pt idx="4">
                  <c:v>30.76026123975312</c:v>
                </c:pt>
                <c:pt idx="5">
                  <c:v>32.754717959122672</c:v>
                </c:pt>
                <c:pt idx="6">
                  <c:v>34.738710633174932</c:v>
                </c:pt>
                <c:pt idx="7">
                  <c:v>36.480901219969873</c:v>
                </c:pt>
                <c:pt idx="8">
                  <c:v>15.676592850963672</c:v>
                </c:pt>
                <c:pt idx="9">
                  <c:v>15.723379515226709</c:v>
                </c:pt>
                <c:pt idx="10">
                  <c:v>15.893967028618814</c:v>
                </c:pt>
                <c:pt idx="11">
                  <c:v>15.966665104278233</c:v>
                </c:pt>
                <c:pt idx="12">
                  <c:v>15.993647407170473</c:v>
                </c:pt>
                <c:pt idx="13">
                  <c:v>15.997520676321036</c:v>
                </c:pt>
                <c:pt idx="14">
                  <c:v>15.999602785976863</c:v>
                </c:pt>
                <c:pt idx="15">
                  <c:v>16.00117823825466</c:v>
                </c:pt>
                <c:pt idx="16">
                  <c:v>16.002242691264055</c:v>
                </c:pt>
                <c:pt idx="17">
                  <c:v>16.002595827262866</c:v>
                </c:pt>
                <c:pt idx="18">
                  <c:v>16.002112427236526</c:v>
                </c:pt>
                <c:pt idx="19">
                  <c:v>16.00086493895277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Скважина_расчет!$M$17:$M$37</c:f>
              <c:numCache>
                <c:formatCode>General</c:formatCode>
                <c:ptCount val="21"/>
                <c:pt idx="0">
                  <c:v>0</c:v>
                </c:pt>
                <c:pt idx="1">
                  <c:v>2.3384277652504863</c:v>
                </c:pt>
                <c:pt idx="2">
                  <c:v>4.6767696290728615</c:v>
                </c:pt>
                <c:pt idx="3">
                  <c:v>7.0148332475495323</c:v>
                </c:pt>
                <c:pt idx="4">
                  <c:v>9.3414285398026049</c:v>
                </c:pt>
                <c:pt idx="5">
                  <c:v>11.521080401228829</c:v>
                </c:pt>
                <c:pt idx="6">
                  <c:v>13.358112718777807</c:v>
                </c:pt>
                <c:pt idx="7">
                  <c:v>14.468388865295946</c:v>
                </c:pt>
                <c:pt idx="8">
                  <c:v>14.476925344289779</c:v>
                </c:pt>
                <c:pt idx="9">
                  <c:v>14.701753430292891</c:v>
                </c:pt>
                <c:pt idx="10">
                  <c:v>15.48629271604198</c:v>
                </c:pt>
                <c:pt idx="11">
                  <c:v>15.806223640664626</c:v>
                </c:pt>
                <c:pt idx="12">
                  <c:v>15.986141048735677</c:v>
                </c:pt>
                <c:pt idx="13">
                  <c:v>16.002285628336882</c:v>
                </c:pt>
                <c:pt idx="14">
                  <c:v>16.00652921799767</c:v>
                </c:pt>
                <c:pt idx="15">
                  <c:v>16.010224939131366</c:v>
                </c:pt>
                <c:pt idx="16">
                  <c:v>16.013963942973223</c:v>
                </c:pt>
                <c:pt idx="17">
                  <c:v>16.018370603276257</c:v>
                </c:pt>
                <c:pt idx="18">
                  <c:v>16.020811963161744</c:v>
                </c:pt>
                <c:pt idx="19">
                  <c:v>16.023678926213972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Скважина_расчет!$K$17:$K$37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Скважина_расчет!$J$17:$J$37</c:f>
              <c:numCache>
                <c:formatCode>General</c:formatCode>
                <c:ptCount val="21"/>
                <c:pt idx="0">
                  <c:v>16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Вязкость смеси от глубины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Скважина_расчет!$T$17:$T$37</c:f>
              <c:numCache>
                <c:formatCode>General</c:formatCode>
                <c:ptCount val="21"/>
                <c:pt idx="0">
                  <c:v>717.39548081890177</c:v>
                </c:pt>
                <c:pt idx="1">
                  <c:v>673.25943782766717</c:v>
                </c:pt>
                <c:pt idx="2">
                  <c:v>644.7164115209772</c:v>
                </c:pt>
                <c:pt idx="3">
                  <c:v>623.63672155573363</c:v>
                </c:pt>
                <c:pt idx="4">
                  <c:v>604.63406312567417</c:v>
                </c:pt>
                <c:pt idx="5">
                  <c:v>583.80359131285081</c:v>
                </c:pt>
                <c:pt idx="6">
                  <c:v>560.00121863411221</c:v>
                </c:pt>
                <c:pt idx="7">
                  <c:v>533.11413845722723</c:v>
                </c:pt>
                <c:pt idx="8">
                  <c:v>822.10104081743577</c:v>
                </c:pt>
                <c:pt idx="9">
                  <c:v>779.73514694466826</c:v>
                </c:pt>
                <c:pt idx="10">
                  <c:v>770.14495820457807</c:v>
                </c:pt>
                <c:pt idx="11">
                  <c:v>767.08816393998586</c:v>
                </c:pt>
                <c:pt idx="12">
                  <c:v>766.57746718908538</c:v>
                </c:pt>
                <c:pt idx="13">
                  <c:v>766.39219212634066</c:v>
                </c:pt>
                <c:pt idx="14">
                  <c:v>766.25429579223646</c:v>
                </c:pt>
                <c:pt idx="15">
                  <c:v>766.19404540003518</c:v>
                </c:pt>
                <c:pt idx="16">
                  <c:v>766.23944652997261</c:v>
                </c:pt>
                <c:pt idx="17">
                  <c:v>766.40868711269013</c:v>
                </c:pt>
                <c:pt idx="18">
                  <c:v>766.69027022962223</c:v>
                </c:pt>
                <c:pt idx="19">
                  <c:v>767.09811184597686</c:v>
                </c:pt>
                <c:pt idx="20">
                  <c:v>767.13082595383207</c:v>
                </c:pt>
              </c:numCache>
            </c:numRef>
          </c:xVal>
          <c:yVal>
            <c:numRef>
              <c:f>Скважина_расчет!$Y$17:$Y$37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4D7-9C94-88FCD45A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Вязоксть, сПуаз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КПД, д.ед.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Скважина_расчет!$AB$59:$AB$101</c:f>
              <c:numCache>
                <c:formatCode>General</c:formatCode>
                <c:ptCount val="43"/>
                <c:pt idx="1">
                  <c:v>9.3150484281819143E-2</c:v>
                </c:pt>
                <c:pt idx="2">
                  <c:v>9.8686019380094844E-2</c:v>
                </c:pt>
                <c:pt idx="3">
                  <c:v>0.10437649360107217</c:v>
                </c:pt>
                <c:pt idx="4">
                  <c:v>0.10745089048232404</c:v>
                </c:pt>
                <c:pt idx="5">
                  <c:v>0.11018899982034547</c:v>
                </c:pt>
                <c:pt idx="6">
                  <c:v>0.11270110098078887</c:v>
                </c:pt>
                <c:pt idx="7">
                  <c:v>0.11501348225916146</c:v>
                </c:pt>
                <c:pt idx="8">
                  <c:v>0.11715586255598993</c:v>
                </c:pt>
                <c:pt idx="9">
                  <c:v>0.11917189180221376</c:v>
                </c:pt>
                <c:pt idx="10">
                  <c:v>0.12107198073827637</c:v>
                </c:pt>
                <c:pt idx="11">
                  <c:v>0.12286511588979855</c:v>
                </c:pt>
                <c:pt idx="12">
                  <c:v>0.12454831792756002</c:v>
                </c:pt>
                <c:pt idx="13">
                  <c:v>0.1261244436906746</c:v>
                </c:pt>
                <c:pt idx="14">
                  <c:v>0.12761876741257802</c:v>
                </c:pt>
                <c:pt idx="15">
                  <c:v>0.12903616313855695</c:v>
                </c:pt>
                <c:pt idx="16">
                  <c:v>0.13038124890809147</c:v>
                </c:pt>
                <c:pt idx="17">
                  <c:v>0.13165221040650199</c:v>
                </c:pt>
                <c:pt idx="18">
                  <c:v>0.13284791006244981</c:v>
                </c:pt>
                <c:pt idx="19">
                  <c:v>0.1339872209559777</c:v>
                </c:pt>
                <c:pt idx="20">
                  <c:v>0.13507373271737616</c:v>
                </c:pt>
                <c:pt idx="21">
                  <c:v>0.13611095275332655</c:v>
                </c:pt>
                <c:pt idx="22">
                  <c:v>0.13709903702043189</c:v>
                </c:pt>
                <c:pt idx="23">
                  <c:v>0.13803657162970473</c:v>
                </c:pt>
                <c:pt idx="24">
                  <c:v>0.13893791309771791</c:v>
                </c:pt>
                <c:pt idx="25">
                  <c:v>0.13980620114489828</c:v>
                </c:pt>
                <c:pt idx="26">
                  <c:v>0.14064454085130781</c:v>
                </c:pt>
                <c:pt idx="27">
                  <c:v>0.14145466423514119</c:v>
                </c:pt>
                <c:pt idx="28">
                  <c:v>0.14223672423057396</c:v>
                </c:pt>
                <c:pt idx="29">
                  <c:v>0.14300037302982702</c:v>
                </c:pt>
                <c:pt idx="30">
                  <c:v>0.14374791665607045</c:v>
                </c:pt>
                <c:pt idx="31">
                  <c:v>0.14448147427282659</c:v>
                </c:pt>
                <c:pt idx="32">
                  <c:v>0.14520259650754147</c:v>
                </c:pt>
                <c:pt idx="33">
                  <c:v>0.14591145353792204</c:v>
                </c:pt>
                <c:pt idx="34">
                  <c:v>0.14661275257747533</c:v>
                </c:pt>
                <c:pt idx="35">
                  <c:v>0.14730769159426374</c:v>
                </c:pt>
                <c:pt idx="36">
                  <c:v>0.14799737928664761</c:v>
                </c:pt>
                <c:pt idx="37">
                  <c:v>0.14868277757218648</c:v>
                </c:pt>
                <c:pt idx="38">
                  <c:v>0.14936437598280669</c:v>
                </c:pt>
                <c:pt idx="39">
                  <c:v>0.15004415837822224</c:v>
                </c:pt>
                <c:pt idx="40">
                  <c:v>0.15072277465434517</c:v>
                </c:pt>
                <c:pt idx="41">
                  <c:v>0.15140082836049507</c:v>
                </c:pt>
                <c:pt idx="42">
                  <c:v>0.15207887714618076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3-43FE-A419-7E00C335808C}"/>
            </c:ext>
          </c:extLst>
        </c:ser>
        <c:ser>
          <c:idx val="1"/>
          <c:order val="1"/>
          <c:tx>
            <c:strRef>
              <c:f>Скважина_расчет!$AC$58</c:f>
              <c:strCache>
                <c:ptCount val="1"/>
                <c:pt idx="0">
                  <c:v>GasFraction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Скважина_расчет!$AC$59:$AC$101</c:f>
              <c:numCache>
                <c:formatCode>General</c:formatCode>
                <c:ptCount val="43"/>
                <c:pt idx="1">
                  <c:v>2.6971788755061829E-2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3-43FE-A419-7E00C335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Скважина_расчет!$AF$58</c:f>
              <c:strCache>
                <c:ptCount val="1"/>
                <c:pt idx="0">
                  <c:v>Pressure, атм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Скважина_расчет!$AF$59:$AF$101</c:f>
              <c:numCache>
                <c:formatCode>General</c:formatCode>
                <c:ptCount val="43"/>
                <c:pt idx="1">
                  <c:v>30.500268452346717</c:v>
                </c:pt>
                <c:pt idx="2">
                  <c:v>32.170694871777407</c:v>
                </c:pt>
                <c:pt idx="3">
                  <c:v>35.703394000245069</c:v>
                </c:pt>
                <c:pt idx="4">
                  <c:v>37.429838950889675</c:v>
                </c:pt>
                <c:pt idx="5">
                  <c:v>39.1721096574732</c:v>
                </c:pt>
                <c:pt idx="6">
                  <c:v>40.928649081402632</c:v>
                </c:pt>
                <c:pt idx="7">
                  <c:v>42.699383438396644</c:v>
                </c:pt>
                <c:pt idx="8">
                  <c:v>44.482619540776319</c:v>
                </c:pt>
                <c:pt idx="9">
                  <c:v>46.275029048566317</c:v>
                </c:pt>
                <c:pt idx="10">
                  <c:v>48.075666467265528</c:v>
                </c:pt>
                <c:pt idx="11">
                  <c:v>49.883662423256666</c:v>
                </c:pt>
                <c:pt idx="12">
                  <c:v>51.698882387099403</c:v>
                </c:pt>
                <c:pt idx="13">
                  <c:v>53.52068940372736</c:v>
                </c:pt>
                <c:pt idx="14">
                  <c:v>55.347225511259786</c:v>
                </c:pt>
                <c:pt idx="15">
                  <c:v>57.177998170432453</c:v>
                </c:pt>
                <c:pt idx="16">
                  <c:v>59.01255559334853</c:v>
                </c:pt>
                <c:pt idx="17">
                  <c:v>60.850771266807101</c:v>
                </c:pt>
                <c:pt idx="18">
                  <c:v>62.692454236039758</c:v>
                </c:pt>
                <c:pt idx="19">
                  <c:v>64.536604503012256</c:v>
                </c:pt>
                <c:pt idx="20">
                  <c:v>66.383000840256642</c:v>
                </c:pt>
                <c:pt idx="21">
                  <c:v>68.231450591459776</c:v>
                </c:pt>
                <c:pt idx="22">
                  <c:v>70.081928043040634</c:v>
                </c:pt>
                <c:pt idx="23">
                  <c:v>71.934546277701926</c:v>
                </c:pt>
                <c:pt idx="24">
                  <c:v>73.788804364360658</c:v>
                </c:pt>
                <c:pt idx="25">
                  <c:v>75.64468639436852</c:v>
                </c:pt>
                <c:pt idx="26">
                  <c:v>77.502199953957088</c:v>
                </c:pt>
                <c:pt idx="27">
                  <c:v>79.361484070413795</c:v>
                </c:pt>
                <c:pt idx="28">
                  <c:v>81.223026146543873</c:v>
                </c:pt>
                <c:pt idx="29">
                  <c:v>83.086480685998424</c:v>
                </c:pt>
                <c:pt idx="30">
                  <c:v>84.951937166779658</c:v>
                </c:pt>
                <c:pt idx="31">
                  <c:v>86.819483154287624</c:v>
                </c:pt>
                <c:pt idx="32">
                  <c:v>88.689297052384234</c:v>
                </c:pt>
                <c:pt idx="33">
                  <c:v>90.562071016863214</c:v>
                </c:pt>
                <c:pt idx="34">
                  <c:v>92.437257293533889</c:v>
                </c:pt>
                <c:pt idx="35">
                  <c:v>94.314930384703729</c:v>
                </c:pt>
                <c:pt idx="36">
                  <c:v>96.195162938670208</c:v>
                </c:pt>
                <c:pt idx="37">
                  <c:v>98.078080832031802</c:v>
                </c:pt>
                <c:pt idx="38">
                  <c:v>99.964567958213948</c:v>
                </c:pt>
                <c:pt idx="39">
                  <c:v>101.85387978119461</c:v>
                </c:pt>
                <c:pt idx="40">
                  <c:v>103.74607671972709</c:v>
                </c:pt>
                <c:pt idx="41">
                  <c:v>105.64121748875536</c:v>
                </c:pt>
                <c:pt idx="42">
                  <c:v>107.53935910181501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D-477B-8AF1-D4515C69039A}"/>
            </c:ext>
          </c:extLst>
        </c:ser>
        <c:ser>
          <c:idx val="1"/>
          <c:order val="1"/>
          <c:tx>
            <c:strRef>
              <c:f>Скважина_расчет!$AG$58</c:f>
              <c:strCache>
                <c:ptCount val="1"/>
                <c:pt idx="0">
                  <c:v>Qmix, м3/сут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Скважина_расчет!$AG$59:$AG$101</c:f>
              <c:numCache>
                <c:formatCode>General</c:formatCode>
                <c:ptCount val="43"/>
                <c:pt idx="1">
                  <c:v>127.49371585560687</c:v>
                </c:pt>
                <c:pt idx="2">
                  <c:v>124.34956259662205</c:v>
                </c:pt>
                <c:pt idx="3">
                  <c:v>124.46234264012698</c:v>
                </c:pt>
                <c:pt idx="4">
                  <c:v>124.54891456551363</c:v>
                </c:pt>
                <c:pt idx="5">
                  <c:v>124.61613780707835</c:v>
                </c:pt>
                <c:pt idx="6">
                  <c:v>124.67976569579407</c:v>
                </c:pt>
                <c:pt idx="7">
                  <c:v>124.73934414946426</c:v>
                </c:pt>
                <c:pt idx="8">
                  <c:v>124.79537028320786</c:v>
                </c:pt>
                <c:pt idx="9">
                  <c:v>124.84878047717821</c:v>
                </c:pt>
                <c:pt idx="10">
                  <c:v>124.89983232760572</c:v>
                </c:pt>
                <c:pt idx="11">
                  <c:v>124.94875995764666</c:v>
                </c:pt>
                <c:pt idx="12">
                  <c:v>124.99557792471427</c:v>
                </c:pt>
                <c:pt idx="13">
                  <c:v>125.04043462378885</c:v>
                </c:pt>
                <c:pt idx="14">
                  <c:v>125.08385326328359</c:v>
                </c:pt>
                <c:pt idx="15">
                  <c:v>125.12595985718271</c:v>
                </c:pt>
                <c:pt idx="16">
                  <c:v>125.16687005388012</c:v>
                </c:pt>
                <c:pt idx="17">
                  <c:v>125.20659378560238</c:v>
                </c:pt>
                <c:pt idx="18">
                  <c:v>125.24515526505142</c:v>
                </c:pt>
                <c:pt idx="19">
                  <c:v>125.28286722172585</c:v>
                </c:pt>
                <c:pt idx="20">
                  <c:v>125.31979370451343</c:v>
                </c:pt>
                <c:pt idx="21">
                  <c:v>125.35599338168713</c:v>
                </c:pt>
                <c:pt idx="22">
                  <c:v>125.39147095113401</c:v>
                </c:pt>
                <c:pt idx="23">
                  <c:v>125.42619656283819</c:v>
                </c:pt>
                <c:pt idx="24">
                  <c:v>125.46036760821787</c:v>
                </c:pt>
                <c:pt idx="25">
                  <c:v>125.49401389322031</c:v>
                </c:pt>
                <c:pt idx="26">
                  <c:v>125.52716197142388</c:v>
                </c:pt>
                <c:pt idx="27">
                  <c:v>125.55980810076476</c:v>
                </c:pt>
                <c:pt idx="28">
                  <c:v>125.59188748456107</c:v>
                </c:pt>
                <c:pt idx="29">
                  <c:v>125.62353665461266</c:v>
                </c:pt>
                <c:pt idx="30">
                  <c:v>125.65476618882285</c:v>
                </c:pt>
                <c:pt idx="31">
                  <c:v>125.6855861378809</c:v>
                </c:pt>
                <c:pt idx="32">
                  <c:v>125.71599056160599</c:v>
                </c:pt>
                <c:pt idx="33">
                  <c:v>125.7458972903686</c:v>
                </c:pt>
                <c:pt idx="34">
                  <c:v>125.775427647806</c:v>
                </c:pt>
                <c:pt idx="35">
                  <c:v>125.80458822888806</c:v>
                </c:pt>
                <c:pt idx="36">
                  <c:v>125.83338524396193</c:v>
                </c:pt>
                <c:pt idx="37">
                  <c:v>125.86181746923126</c:v>
                </c:pt>
                <c:pt idx="38">
                  <c:v>125.88979259925792</c:v>
                </c:pt>
                <c:pt idx="39">
                  <c:v>125.91742463229527</c:v>
                </c:pt>
                <c:pt idx="40">
                  <c:v>125.94471778915621</c:v>
                </c:pt>
                <c:pt idx="41">
                  <c:v>125.97167609106171</c:v>
                </c:pt>
                <c:pt idx="42">
                  <c:v>125.99830336165959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9D-477B-8AF1-D4515C69039A}"/>
            </c:ext>
          </c:extLst>
        </c:ser>
        <c:ser>
          <c:idx val="2"/>
          <c:order val="2"/>
          <c:tx>
            <c:strRef>
              <c:f>Скважина_расчет!$AH$58</c:f>
              <c:strCache>
                <c:ptCount val="1"/>
                <c:pt idx="0">
                  <c:v>Temp, С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Скважина_расчет!$AH$59:$AH$101</c:f>
              <c:numCache>
                <c:formatCode>General</c:formatCode>
                <c:ptCount val="43"/>
                <c:pt idx="1">
                  <c:v>15.768730998127021</c:v>
                </c:pt>
                <c:pt idx="2">
                  <c:v>16.499081896685915</c:v>
                </c:pt>
                <c:pt idx="3">
                  <c:v>17.89608732965435</c:v>
                </c:pt>
                <c:pt idx="4">
                  <c:v>18.513984718271423</c:v>
                </c:pt>
                <c:pt idx="5">
                  <c:v>19.112643613339753</c:v>
                </c:pt>
                <c:pt idx="6">
                  <c:v>19.694124328837695</c:v>
                </c:pt>
                <c:pt idx="7">
                  <c:v>20.258661481383783</c:v>
                </c:pt>
                <c:pt idx="8">
                  <c:v>20.808364042124982</c:v>
                </c:pt>
                <c:pt idx="9">
                  <c:v>21.347198552273106</c:v>
                </c:pt>
                <c:pt idx="10">
                  <c:v>21.876278304493134</c:v>
                </c:pt>
                <c:pt idx="11">
                  <c:v>22.396615354569725</c:v>
                </c:pt>
                <c:pt idx="12">
                  <c:v>22.90832692914978</c:v>
                </c:pt>
                <c:pt idx="13">
                  <c:v>23.412093326002459</c:v>
                </c:pt>
                <c:pt idx="14">
                  <c:v>23.910084489558219</c:v>
                </c:pt>
                <c:pt idx="15">
                  <c:v>24.402841609882941</c:v>
                </c:pt>
                <c:pt idx="16">
                  <c:v>24.890858539103</c:v>
                </c:pt>
                <c:pt idx="17">
                  <c:v>25.374209269017555</c:v>
                </c:pt>
                <c:pt idx="18">
                  <c:v>25.853018918753211</c:v>
                </c:pt>
                <c:pt idx="19">
                  <c:v>26.328513769576794</c:v>
                </c:pt>
                <c:pt idx="20">
                  <c:v>26.800933432793727</c:v>
                </c:pt>
                <c:pt idx="21">
                  <c:v>27.270487707507321</c:v>
                </c:pt>
                <c:pt idx="22">
                  <c:v>27.737156049945071</c:v>
                </c:pt>
                <c:pt idx="23">
                  <c:v>28.20072198720127</c:v>
                </c:pt>
                <c:pt idx="24">
                  <c:v>28.661897076280052</c:v>
                </c:pt>
                <c:pt idx="25">
                  <c:v>29.120713286462337</c:v>
                </c:pt>
                <c:pt idx="26">
                  <c:v>29.577179855426692</c:v>
                </c:pt>
                <c:pt idx="27">
                  <c:v>30.031134915469092</c:v>
                </c:pt>
                <c:pt idx="28">
                  <c:v>30.481985002371054</c:v>
                </c:pt>
                <c:pt idx="29">
                  <c:v>30.930283289567399</c:v>
                </c:pt>
                <c:pt idx="30">
                  <c:v>31.375961759577798</c:v>
                </c:pt>
                <c:pt idx="31">
                  <c:v>31.818954420985218</c:v>
                </c:pt>
                <c:pt idx="32">
                  <c:v>32.259082750916306</c:v>
                </c:pt>
                <c:pt idx="33">
                  <c:v>32.695555471972177</c:v>
                </c:pt>
                <c:pt idx="34">
                  <c:v>33.129106740632793</c:v>
                </c:pt>
                <c:pt idx="35">
                  <c:v>33.559684445804066</c:v>
                </c:pt>
                <c:pt idx="36">
                  <c:v>33.987238447302083</c:v>
                </c:pt>
                <c:pt idx="37">
                  <c:v>34.411657287534631</c:v>
                </c:pt>
                <c:pt idx="38">
                  <c:v>34.831975153114485</c:v>
                </c:pt>
                <c:pt idx="39">
                  <c:v>35.249094820899977</c:v>
                </c:pt>
                <c:pt idx="40">
                  <c:v>35.662979061997724</c:v>
                </c:pt>
                <c:pt idx="41">
                  <c:v>36.073592422444364</c:v>
                </c:pt>
                <c:pt idx="42">
                  <c:v>36.480901219969873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9D-477B-8AF1-D4515C69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Скважина_расчет!$AI$58</c:f>
              <c:strCache>
                <c:ptCount val="1"/>
                <c:pt idx="0">
                  <c:v>MuMix, сПуаз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Скважина_расчет!$AI$59:$AI$101</c:f>
              <c:numCache>
                <c:formatCode>General</c:formatCode>
                <c:ptCount val="43"/>
                <c:pt idx="1">
                  <c:v>1065.2576830848093</c:v>
                </c:pt>
                <c:pt idx="2">
                  <c:v>1005.7881620306022</c:v>
                </c:pt>
                <c:pt idx="3">
                  <c:v>940.9827964293745</c:v>
                </c:pt>
                <c:pt idx="4">
                  <c:v>894.18814228942927</c:v>
                </c:pt>
                <c:pt idx="5">
                  <c:v>860.7773095302415</c:v>
                </c:pt>
                <c:pt idx="6">
                  <c:v>830.77614396550825</c:v>
                </c:pt>
                <c:pt idx="7">
                  <c:v>804.5666848959919</c:v>
                </c:pt>
                <c:pt idx="8">
                  <c:v>781.69293895570695</c:v>
                </c:pt>
                <c:pt idx="9">
                  <c:v>761.26243744808028</c:v>
                </c:pt>
                <c:pt idx="10">
                  <c:v>743.02257468125867</c:v>
                </c:pt>
                <c:pt idx="11">
                  <c:v>726.74342136579025</c:v>
                </c:pt>
                <c:pt idx="12">
                  <c:v>712.39607571834927</c:v>
                </c:pt>
                <c:pt idx="13">
                  <c:v>699.82231652546625</c:v>
                </c:pt>
                <c:pt idx="14">
                  <c:v>688.52930482885256</c:v>
                </c:pt>
                <c:pt idx="15">
                  <c:v>678.38653581011852</c:v>
                </c:pt>
                <c:pt idx="16">
                  <c:v>669.27172122707793</c:v>
                </c:pt>
                <c:pt idx="17">
                  <c:v>661.14592984163562</c:v>
                </c:pt>
                <c:pt idx="18">
                  <c:v>653.93711270782819</c:v>
                </c:pt>
                <c:pt idx="19">
                  <c:v>647.35306087979689</c:v>
                </c:pt>
                <c:pt idx="20">
                  <c:v>641.30746804733656</c:v>
                </c:pt>
                <c:pt idx="21">
                  <c:v>635.71716157946605</c:v>
                </c:pt>
                <c:pt idx="22">
                  <c:v>630.52257279344326</c:v>
                </c:pt>
                <c:pt idx="23">
                  <c:v>625.64557394872384</c:v>
                </c:pt>
                <c:pt idx="24">
                  <c:v>620.92645308734132</c:v>
                </c:pt>
                <c:pt idx="25">
                  <c:v>616.29713890375422</c:v>
                </c:pt>
                <c:pt idx="26">
                  <c:v>611.6912042994453</c:v>
                </c:pt>
                <c:pt idx="27">
                  <c:v>607.03547990535196</c:v>
                </c:pt>
                <c:pt idx="28">
                  <c:v>602.20889486492638</c:v>
                </c:pt>
                <c:pt idx="29">
                  <c:v>597.21565949143542</c:v>
                </c:pt>
                <c:pt idx="30">
                  <c:v>592.05778512608174</c:v>
                </c:pt>
                <c:pt idx="31">
                  <c:v>586.74000181681731</c:v>
                </c:pt>
                <c:pt idx="32">
                  <c:v>581.26149127268161</c:v>
                </c:pt>
                <c:pt idx="33">
                  <c:v>575.59402940061989</c:v>
                </c:pt>
                <c:pt idx="34">
                  <c:v>569.78696325903627</c:v>
                </c:pt>
                <c:pt idx="35">
                  <c:v>563.84539298035622</c:v>
                </c:pt>
                <c:pt idx="36">
                  <c:v>557.77440297518194</c:v>
                </c:pt>
                <c:pt idx="37">
                  <c:v>551.57670773880136</c:v>
                </c:pt>
                <c:pt idx="38">
                  <c:v>545.22649138609654</c:v>
                </c:pt>
                <c:pt idx="39">
                  <c:v>538.7667524754371</c:v>
                </c:pt>
                <c:pt idx="40">
                  <c:v>532.20238730938809</c:v>
                </c:pt>
                <c:pt idx="41">
                  <c:v>525.53825180028457</c:v>
                </c:pt>
                <c:pt idx="42">
                  <c:v>518.77916117141206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C4-4898-96AB-2486ADC54D3E}"/>
            </c:ext>
          </c:extLst>
        </c:ser>
        <c:ser>
          <c:idx val="3"/>
          <c:order val="1"/>
          <c:tx>
            <c:strRef>
              <c:f>Скважина_расчет!$AE$58</c:f>
              <c:strCache>
                <c:ptCount val="1"/>
                <c:pt idx="0">
                  <c:v>PowerFluid, Вт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Скважина_расчет!$AE$59:$AE$101</c:f>
              <c:numCache>
                <c:formatCode>General</c:formatCode>
                <c:ptCount val="43"/>
                <c:pt idx="1">
                  <c:v>28.793479192463213</c:v>
                </c:pt>
                <c:pt idx="2">
                  <c:v>36.922352508072365</c:v>
                </c:pt>
                <c:pt idx="3">
                  <c:v>309.10383997299749</c:v>
                </c:pt>
                <c:pt idx="4">
                  <c:v>313.74324014785964</c:v>
                </c:pt>
                <c:pt idx="5">
                  <c:v>317.03770621489946</c:v>
                </c:pt>
                <c:pt idx="6">
                  <c:v>319.98692504443608</c:v>
                </c:pt>
                <c:pt idx="7">
                  <c:v>322.55385873491821</c:v>
                </c:pt>
                <c:pt idx="8">
                  <c:v>324.7854775745372</c:v>
                </c:pt>
                <c:pt idx="9">
                  <c:v>326.77191091292536</c:v>
                </c:pt>
                <c:pt idx="10">
                  <c:v>328.53870826291467</c:v>
                </c:pt>
                <c:pt idx="11">
                  <c:v>330.1090587487775</c:v>
                </c:pt>
                <c:pt idx="12">
                  <c:v>331.48593833581862</c:v>
                </c:pt>
                <c:pt idx="13">
                  <c:v>332.68520807181881</c:v>
                </c:pt>
                <c:pt idx="14">
                  <c:v>333.75621092815118</c:v>
                </c:pt>
                <c:pt idx="15">
                  <c:v>334.71201297593683</c:v>
                </c:pt>
                <c:pt idx="16">
                  <c:v>335.56486541502642</c:v>
                </c:pt>
                <c:pt idx="17">
                  <c:v>336.31868943641859</c:v>
                </c:pt>
                <c:pt idx="18">
                  <c:v>336.98078529049667</c:v>
                </c:pt>
                <c:pt idx="19">
                  <c:v>337.58049918940509</c:v>
                </c:pt>
                <c:pt idx="20">
                  <c:v>338.12657730572386</c:v>
                </c:pt>
                <c:pt idx="21">
                  <c:v>338.62746804773082</c:v>
                </c:pt>
                <c:pt idx="22">
                  <c:v>339.08933770807238</c:v>
                </c:pt>
                <c:pt idx="23">
                  <c:v>339.52041532204913</c:v>
                </c:pt>
                <c:pt idx="24">
                  <c:v>339.93676378879661</c:v>
                </c:pt>
                <c:pt idx="25">
                  <c:v>340.34541987140136</c:v>
                </c:pt>
                <c:pt idx="26">
                  <c:v>340.75326839609448</c:v>
                </c:pt>
                <c:pt idx="27">
                  <c:v>341.16801531659985</c:v>
                </c:pt>
                <c:pt idx="28">
                  <c:v>341.60264227411562</c:v>
                </c:pt>
                <c:pt idx="29">
                  <c:v>342.05630073766673</c:v>
                </c:pt>
                <c:pt idx="30">
                  <c:v>342.5287889155897</c:v>
                </c:pt>
                <c:pt idx="31">
                  <c:v>343.01962133698549</c:v>
                </c:pt>
                <c:pt idx="32">
                  <c:v>343.52896031806728</c:v>
                </c:pt>
                <c:pt idx="33">
                  <c:v>344.06018461602315</c:v>
                </c:pt>
                <c:pt idx="34">
                  <c:v>344.6076838219355</c:v>
                </c:pt>
                <c:pt idx="35">
                  <c:v>345.17094329274329</c:v>
                </c:pt>
                <c:pt idx="36">
                  <c:v>345.74945126681462</c:v>
                </c:pt>
                <c:pt idx="37">
                  <c:v>346.34298075426773</c:v>
                </c:pt>
                <c:pt idx="38">
                  <c:v>346.9547740148281</c:v>
                </c:pt>
                <c:pt idx="39">
                  <c:v>347.5798288144984</c:v>
                </c:pt>
                <c:pt idx="40">
                  <c:v>348.2176605005817</c:v>
                </c:pt>
                <c:pt idx="41">
                  <c:v>348.86778959422213</c:v>
                </c:pt>
                <c:pt idx="42">
                  <c:v>349.52974181868058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C4-4898-96AB-2486ADC54D3E}"/>
            </c:ext>
          </c:extLst>
        </c:ser>
        <c:ser>
          <c:idx val="1"/>
          <c:order val="2"/>
          <c:tx>
            <c:strRef>
              <c:f>Скважина_расчет!$AD$58</c:f>
              <c:strCache>
                <c:ptCount val="1"/>
                <c:pt idx="0">
                  <c:v>PowerESP, 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Скважина_расчет!$AD$59:$AD$101</c:f>
              <c:numCache>
                <c:formatCode>General</c:formatCode>
                <c:ptCount val="43"/>
                <c:pt idx="1">
                  <c:v>309.1071336285371</c:v>
                </c:pt>
                <c:pt idx="2">
                  <c:v>357.5184258585889</c:v>
                </c:pt>
                <c:pt idx="3">
                  <c:v>2779.2380455652897</c:v>
                </c:pt>
                <c:pt idx="4">
                  <c:v>2669.6237010782625</c:v>
                </c:pt>
                <c:pt idx="5">
                  <c:v>2593.6906901572097</c:v>
                </c:pt>
                <c:pt idx="6">
                  <c:v>2526.7941131605394</c:v>
                </c:pt>
                <c:pt idx="7">
                  <c:v>2469.4451396447598</c:v>
                </c:pt>
                <c:pt idx="8">
                  <c:v>2420.1793520855845</c:v>
                </c:pt>
                <c:pt idx="9">
                  <c:v>2376.6759553551574</c:v>
                </c:pt>
                <c:pt idx="10">
                  <c:v>2338.2429104789517</c:v>
                </c:pt>
                <c:pt idx="11">
                  <c:v>2304.2654135139651</c:v>
                </c:pt>
                <c:pt idx="12">
                  <c:v>2274.5933285485958</c:v>
                </c:pt>
                <c:pt idx="13">
                  <c:v>2248.7951119579593</c:v>
                </c:pt>
                <c:pt idx="14">
                  <c:v>2225.7535756900174</c:v>
                </c:pt>
                <c:pt idx="15">
                  <c:v>2205.1640221062112</c:v>
                </c:pt>
                <c:pt idx="16">
                  <c:v>2186.7455131892798</c:v>
                </c:pt>
                <c:pt idx="17">
                  <c:v>2170.3962600248933</c:v>
                </c:pt>
                <c:pt idx="18">
                  <c:v>2155.9477118958894</c:v>
                </c:pt>
                <c:pt idx="19">
                  <c:v>2142.7862778418807</c:v>
                </c:pt>
                <c:pt idx="20">
                  <c:v>2130.7307361965936</c:v>
                </c:pt>
                <c:pt idx="21">
                  <c:v>2119.6081211288906</c:v>
                </c:pt>
                <c:pt idx="22">
                  <c:v>2109.2957764340758</c:v>
                </c:pt>
                <c:pt idx="23">
                  <c:v>2099.6370642805782</c:v>
                </c:pt>
                <c:pt idx="24">
                  <c:v>2090.3092908639383</c:v>
                </c:pt>
                <c:pt idx="25">
                  <c:v>2081.1780341599224</c:v>
                </c:pt>
                <c:pt idx="26">
                  <c:v>2072.1129136429959</c:v>
                </c:pt>
                <c:pt idx="27">
                  <c:v>2062.9726051068737</c:v>
                </c:pt>
                <c:pt idx="28">
                  <c:v>2053.5280851046841</c:v>
                </c:pt>
                <c:pt idx="29">
                  <c:v>2043.7843157558273</c:v>
                </c:pt>
                <c:pt idx="30">
                  <c:v>2033.7470452530054</c:v>
                </c:pt>
                <c:pt idx="31">
                  <c:v>2023.4272637220613</c:v>
                </c:pt>
                <c:pt idx="32">
                  <c:v>2012.8264473198949</c:v>
                </c:pt>
                <c:pt idx="33">
                  <c:v>2001.9003010994991</c:v>
                </c:pt>
                <c:pt idx="34">
                  <c:v>1990.7375931496749</c:v>
                </c:pt>
                <c:pt idx="35">
                  <c:v>1979.3496506433773</c:v>
                </c:pt>
                <c:pt idx="36">
                  <c:v>1967.747699516558</c:v>
                </c:pt>
                <c:pt idx="37">
                  <c:v>1955.9391050267168</c:v>
                </c:pt>
                <c:pt idx="38">
                  <c:v>1943.8869840036541</c:v>
                </c:pt>
                <c:pt idx="39">
                  <c:v>1931.6639005598747</c:v>
                </c:pt>
                <c:pt idx="40">
                  <c:v>1919.2801795056644</c:v>
                </c:pt>
                <c:pt idx="41">
                  <c:v>1906.7459820973818</c:v>
                </c:pt>
                <c:pt idx="42">
                  <c:v>1894.0713053343634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C4-4898-96AB-2486ADC54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8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 sz="1400" b="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Скважина_расчет!$AC$4</c:f>
              <c:strCache>
                <c:ptCount val="1"/>
                <c:pt idx="0">
                  <c:v>Ошибка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8-4774-AEC2-E2C24416A0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Скважина_расчет!$AB$5:$AB$11</c:f>
              <c:strCache>
                <c:ptCount val="7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</c:v>
                </c:pt>
                <c:pt idx="6">
                  <c:v>СУ (передача)</c:v>
                </c:pt>
              </c:strCache>
            </c:strRef>
          </c:cat>
          <c:val>
            <c:numRef>
              <c:f>Скважина_расчет!$AC$5:$AC$11</c:f>
              <c:numCache>
                <c:formatCode>0.0%</c:formatCode>
                <c:ptCount val="7"/>
                <c:pt idx="0">
                  <c:v>3.1963573966192385E-2</c:v>
                </c:pt>
                <c:pt idx="1">
                  <c:v>6.3647718361614569E-3</c:v>
                </c:pt>
                <c:pt idx="2">
                  <c:v>5.2884615497248988E-2</c:v>
                </c:pt>
                <c:pt idx="3">
                  <c:v>0</c:v>
                </c:pt>
                <c:pt idx="4">
                  <c:v>3.6951637570719405E-2</c:v>
                </c:pt>
                <c:pt idx="5" formatCode="0.00%">
                  <c:v>1.1970529938333755E-2</c:v>
                </c:pt>
                <c:pt idx="6" formatCode="0.00%">
                  <c:v>3.7518742648838872E-2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8-4774-AEC2-E2C24416A0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AK$4" fmlaRange="$AL$4:$AL$5" noThreeD="1" sel="1" val="0"/>
</file>

<file path=xl/ctrlProps/ctrlProp11.xml><?xml version="1.0" encoding="utf-8"?>
<formControlPr xmlns="http://schemas.microsoft.com/office/spreadsheetml/2009/9/main" objectType="Drop" dropLines="6" dropStyle="combo" dx="22" fmlaLink="$AO$4" fmlaRange="$AP$4:$AP$9" noThreeD="1" sel="1" val="0"/>
</file>

<file path=xl/ctrlProps/ctrlProp12.xml><?xml version="1.0" encoding="utf-8"?>
<formControlPr xmlns="http://schemas.microsoft.com/office/spreadsheetml/2009/9/main" objectType="Drop" dropLines="3" dropStyle="combo" dx="22" fmlaLink="$AG$4" fmlaRange="$AH$4:$AH$6" noThreeD="1" sel="3" val="0"/>
</file>

<file path=xl/ctrlProps/ctrlProp13.xml><?xml version="1.0" encoding="utf-8"?>
<formControlPr xmlns="http://schemas.microsoft.com/office/spreadsheetml/2009/9/main" objectType="Drop" dropLines="2" dropStyle="combo" dx="22" fmlaLink="$AU$4" fmlaRange="$AV$4:$AV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106413</xdr:colOff>
      <xdr:row>58</xdr:row>
      <xdr:rowOff>41271</xdr:rowOff>
    </xdr:from>
    <xdr:to>
      <xdr:col>11</xdr:col>
      <xdr:colOff>571500</xdr:colOff>
      <xdr:row>78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564638</xdr:colOff>
      <xdr:row>58</xdr:row>
      <xdr:rowOff>11486</xdr:rowOff>
    </xdr:from>
    <xdr:to>
      <xdr:col>20</xdr:col>
      <xdr:colOff>285750</xdr:colOff>
      <xdr:row>78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119343</xdr:colOff>
      <xdr:row>78</xdr:row>
      <xdr:rowOff>78161</xdr:rowOff>
    </xdr:from>
    <xdr:to>
      <xdr:col>11</xdr:col>
      <xdr:colOff>523875</xdr:colOff>
      <xdr:row>98</xdr:row>
      <xdr:rowOff>38100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531299</xdr:colOff>
      <xdr:row>78</xdr:row>
      <xdr:rowOff>90067</xdr:rowOff>
    </xdr:from>
    <xdr:to>
      <xdr:col>20</xdr:col>
      <xdr:colOff>295275</xdr:colOff>
      <xdr:row>98</xdr:row>
      <xdr:rowOff>47625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282388</xdr:colOff>
      <xdr:row>58</xdr:row>
      <xdr:rowOff>59952</xdr:rowOff>
    </xdr:from>
    <xdr:to>
      <xdr:col>29</xdr:col>
      <xdr:colOff>342900</xdr:colOff>
      <xdr:row>78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1E0826-840B-43EC-8F4A-D7C8E7801193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9.7%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271150</xdr:colOff>
      <xdr:row>38</xdr:row>
      <xdr:rowOff>91209</xdr:rowOff>
    </xdr:from>
    <xdr:to>
      <xdr:col>23</xdr:col>
      <xdr:colOff>365263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147116</xdr:colOff>
      <xdr:row>38</xdr:row>
      <xdr:rowOff>93007</xdr:rowOff>
    </xdr:from>
    <xdr:to>
      <xdr:col>11</xdr:col>
      <xdr:colOff>438150</xdr:colOff>
      <xdr:row>66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457348</xdr:colOff>
      <xdr:row>10</xdr:row>
      <xdr:rowOff>135454</xdr:rowOff>
    </xdr:from>
    <xdr:to>
      <xdr:col>26</xdr:col>
      <xdr:colOff>527277</xdr:colOff>
      <xdr:row>27</xdr:row>
      <xdr:rowOff>122464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400447</xdr:colOff>
      <xdr:row>43</xdr:row>
      <xdr:rowOff>154153</xdr:rowOff>
    </xdr:from>
    <xdr:to>
      <xdr:col>27</xdr:col>
      <xdr:colOff>108857</xdr:colOff>
      <xdr:row>59</xdr:row>
      <xdr:rowOff>81643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421821</xdr:colOff>
      <xdr:row>27</xdr:row>
      <xdr:rowOff>125665</xdr:rowOff>
    </xdr:from>
    <xdr:to>
      <xdr:col>26</xdr:col>
      <xdr:colOff>557894</xdr:colOff>
      <xdr:row>43</xdr:row>
      <xdr:rowOff>149679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367392</xdr:colOff>
      <xdr:row>10</xdr:row>
      <xdr:rowOff>81644</xdr:rowOff>
    </xdr:from>
    <xdr:to>
      <xdr:col>14</xdr:col>
      <xdr:colOff>333374</xdr:colOff>
      <xdr:row>27</xdr:row>
      <xdr:rowOff>112939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BABB344-C55E-4A41-A74C-335C61BA8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377599</xdr:colOff>
      <xdr:row>27</xdr:row>
      <xdr:rowOff>85045</xdr:rowOff>
    </xdr:from>
    <xdr:to>
      <xdr:col>14</xdr:col>
      <xdr:colOff>377599</xdr:colOff>
      <xdr:row>44</xdr:row>
      <xdr:rowOff>116340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DC78CA88-27ED-4DD6-80A9-E93817645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502703</xdr:colOff>
      <xdr:row>39</xdr:row>
      <xdr:rowOff>95250</xdr:rowOff>
    </xdr:from>
    <xdr:to>
      <xdr:col>9</xdr:col>
      <xdr:colOff>396875</xdr:colOff>
      <xdr:row>69</xdr:row>
      <xdr:rowOff>174625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299357</xdr:colOff>
      <xdr:row>15</xdr:row>
      <xdr:rowOff>58515</xdr:rowOff>
    </xdr:from>
    <xdr:to>
      <xdr:col>33</xdr:col>
      <xdr:colOff>224117</xdr:colOff>
      <xdr:row>50</xdr:row>
      <xdr:rowOff>56029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231606</xdr:colOff>
      <xdr:row>15</xdr:row>
      <xdr:rowOff>58198</xdr:rowOff>
    </xdr:from>
    <xdr:to>
      <xdr:col>41</xdr:col>
      <xdr:colOff>481852</xdr:colOff>
      <xdr:row>50</xdr:row>
      <xdr:rowOff>67235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460375</xdr:colOff>
          <xdr:row>16</xdr:row>
          <xdr:rowOff>47625</xdr:rowOff>
        </xdr:from>
        <xdr:to>
          <xdr:col>25</xdr:col>
          <xdr:colOff>47624</xdr:colOff>
          <xdr:row>25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396875</xdr:colOff>
          <xdr:row>26</xdr:row>
          <xdr:rowOff>111125</xdr:rowOff>
        </xdr:from>
        <xdr:to>
          <xdr:col>24</xdr:col>
          <xdr:colOff>2238374</xdr:colOff>
          <xdr:row>37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40527</xdr:colOff>
      <xdr:row>27</xdr:row>
      <xdr:rowOff>174626</xdr:rowOff>
    </xdr:from>
    <xdr:to>
      <xdr:col>19</xdr:col>
      <xdr:colOff>285750</xdr:colOff>
      <xdr:row>36</xdr:row>
      <xdr:rowOff>95250</xdr:rowOff>
    </xdr:to>
    <xdr:sp macro="[0]!Кнопка52_Расчет_сверху_вниз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804027" y="5873751"/>
          <a:ext cx="1816848" cy="163512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111125</xdr:colOff>
      <xdr:row>16</xdr:row>
      <xdr:rowOff>111123</xdr:rowOff>
    </xdr:from>
    <xdr:to>
      <xdr:col>19</xdr:col>
      <xdr:colOff>238124</xdr:colOff>
      <xdr:row>24</xdr:row>
      <xdr:rowOff>36604</xdr:rowOff>
    </xdr:to>
    <xdr:sp macro="[0]!Кнопка52_Расчет_снизу_вверх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2874625" y="3714748"/>
          <a:ext cx="1698624" cy="144948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38100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9</xdr:col>
          <xdr:colOff>9525</xdr:colOff>
          <xdr:row>4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8282</xdr:colOff>
          <xdr:row>4</xdr:row>
          <xdr:rowOff>2070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20969</xdr:colOff>
      <xdr:row>39</xdr:row>
      <xdr:rowOff>111125</xdr:rowOff>
    </xdr:from>
    <xdr:to>
      <xdr:col>16</xdr:col>
      <xdr:colOff>968375</xdr:colOff>
      <xdr:row>69</xdr:row>
      <xdr:rowOff>111125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1385577</xdr:colOff>
      <xdr:row>63</xdr:row>
      <xdr:rowOff>86159</xdr:rowOff>
    </xdr:from>
    <xdr:to>
      <xdr:col>24</xdr:col>
      <xdr:colOff>2166937</xdr:colOff>
      <xdr:row>83</xdr:row>
      <xdr:rowOff>119062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18EEA51C-2B13-409C-BC61-29A99B68A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1442170</xdr:colOff>
      <xdr:row>38</xdr:row>
      <xdr:rowOff>166687</xdr:rowOff>
    </xdr:from>
    <xdr:to>
      <xdr:col>24</xdr:col>
      <xdr:colOff>2095500</xdr:colOff>
      <xdr:row>63</xdr:row>
      <xdr:rowOff>71437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A9F14EC8-D332-4185-93BE-57AD2E115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1346488</xdr:colOff>
      <xdr:row>83</xdr:row>
      <xdr:rowOff>109663</xdr:rowOff>
    </xdr:from>
    <xdr:to>
      <xdr:col>25</xdr:col>
      <xdr:colOff>63499</xdr:colOff>
      <xdr:row>105</xdr:row>
      <xdr:rowOff>79375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F891BE8E-2359-496F-875E-0E13A7F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8284</xdr:colOff>
          <xdr:row>0</xdr:row>
          <xdr:rowOff>207064</xdr:rowOff>
        </xdr:from>
        <xdr:to>
          <xdr:col>13</xdr:col>
          <xdr:colOff>1</xdr:colOff>
          <xdr:row>2</xdr:row>
          <xdr:rowOff>16566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4349E4CD-30D3-4D53-8B6E-66E90BA64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0</xdr:row>
      <xdr:rowOff>0</xdr:rowOff>
    </xdr:from>
    <xdr:to>
      <xdr:col>31</xdr:col>
      <xdr:colOff>734785</xdr:colOff>
      <xdr:row>15</xdr:row>
      <xdr:rowOff>54428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D2ADBD41-CE5F-46A3-B016-BE69C32E6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topLeftCell="A10" workbookViewId="0">
      <selection activeCell="C39" sqref="C39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153</v>
      </c>
    </row>
    <row r="4" spans="1:5" x14ac:dyDescent="0.25">
      <c r="A4" s="109" t="str">
        <f>"Унифлок "&amp;версия_номер_</f>
        <v>Унифлок 7.5</v>
      </c>
      <c r="B4" s="109"/>
      <c r="C4" s="109"/>
      <c r="D4" s="109"/>
      <c r="E4" s="10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Normal="100" workbookViewId="0">
      <selection activeCell="I38" sqref="I38"/>
    </sheetView>
  </sheetViews>
  <sheetFormatPr defaultRowHeight="15" outlineLevelRow="1" x14ac:dyDescent="0.25"/>
  <cols>
    <col min="1" max="1" width="7.28515625" style="11" customWidth="1"/>
    <col min="2" max="6" width="8.85546875" customWidth="1"/>
    <col min="7" max="7" width="8.85546875" style="1" customWidth="1"/>
    <col min="8" max="17" width="8.8554687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109" t="s">
        <v>0</v>
      </c>
      <c r="B2" s="109"/>
      <c r="C2" s="109"/>
      <c r="D2" s="109"/>
      <c r="E2" s="109"/>
      <c r="J2" s="6" t="s">
        <v>26</v>
      </c>
      <c r="K2" s="9">
        <v>1</v>
      </c>
      <c r="L2" s="5" t="s">
        <v>6</v>
      </c>
    </row>
    <row r="3" spans="1:17" ht="18" customHeight="1" x14ac:dyDescent="0.25">
      <c r="F3" s="110" t="s">
        <v>66</v>
      </c>
      <c r="G3" s="11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E7" s="2"/>
      <c r="F7" s="2" t="s">
        <v>4</v>
      </c>
      <c r="G7" s="2"/>
      <c r="H7" s="2"/>
      <c r="J7" s="2" t="s">
        <v>8</v>
      </c>
      <c r="K7" s="2"/>
      <c r="L7" s="2"/>
      <c r="N7" s="111" t="s">
        <v>28</v>
      </c>
      <c r="O7" s="111"/>
      <c r="P7" s="111"/>
      <c r="Q7" s="11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0.94499999999999995</v>
      </c>
      <c r="H8" s="5"/>
      <c r="J8" s="7" t="s">
        <v>32</v>
      </c>
      <c r="K8" s="52">
        <v>120.48</v>
      </c>
      <c r="L8" s="5" t="s">
        <v>33</v>
      </c>
      <c r="N8" s="6" t="s">
        <v>29</v>
      </c>
      <c r="O8" s="9">
        <v>0.7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57">
        <v>0.9</v>
      </c>
      <c r="H9" s="5"/>
      <c r="I9" s="59"/>
      <c r="J9" s="5" t="s">
        <v>19</v>
      </c>
      <c r="K9" s="52">
        <v>19.48</v>
      </c>
      <c r="L9" s="5" t="s">
        <v>9</v>
      </c>
      <c r="N9" s="5" t="s">
        <v>30</v>
      </c>
      <c r="O9" s="9">
        <v>30</v>
      </c>
      <c r="P9" s="5" t="s">
        <v>2</v>
      </c>
      <c r="Q9" s="2"/>
    </row>
    <row r="10" spans="1:17" ht="18" x14ac:dyDescent="0.25">
      <c r="C10" s="59"/>
      <c r="F10" s="5" t="s">
        <v>14</v>
      </c>
      <c r="G10" s="9">
        <v>1.0109999999999999</v>
      </c>
      <c r="H10" s="5"/>
      <c r="J10" s="7" t="s">
        <v>34</v>
      </c>
      <c r="K10" s="12">
        <f>Ql_scm3day_*(1-wc_perc_/100)*gamma_oil_</f>
        <v>91.674918719999994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29.25</v>
      </c>
      <c r="H11" s="5" t="s">
        <v>17</v>
      </c>
      <c r="J11" s="7" t="s">
        <v>18</v>
      </c>
      <c r="K11" s="52">
        <v>27.58</v>
      </c>
      <c r="L11" s="5" t="s">
        <v>17</v>
      </c>
    </row>
    <row r="12" spans="1:17" ht="18" x14ac:dyDescent="0.25">
      <c r="J12" s="7" t="s">
        <v>18</v>
      </c>
      <c r="K12" s="13">
        <f>Rp_m3m3_/gamma_oil_</f>
        <v>29.185185185185183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16</v>
      </c>
      <c r="H14" s="5" t="s">
        <v>67</v>
      </c>
    </row>
    <row r="15" spans="1:17" ht="18" x14ac:dyDescent="0.25">
      <c r="F15" s="5" t="s">
        <v>20</v>
      </c>
      <c r="G15" s="9">
        <v>40</v>
      </c>
      <c r="H15" s="5" t="s">
        <v>2</v>
      </c>
    </row>
    <row r="16" spans="1:17" ht="18" x14ac:dyDescent="0.25">
      <c r="F16" s="7" t="s">
        <v>21</v>
      </c>
      <c r="G16" s="9">
        <v>1.0449999999999999</v>
      </c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68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69</v>
      </c>
      <c r="C22" s="2"/>
      <c r="D22" s="2"/>
      <c r="E22" s="2"/>
      <c r="F22" s="2"/>
      <c r="G22" s="2" t="s">
        <v>70</v>
      </c>
      <c r="H22" s="2"/>
    </row>
    <row r="23" spans="2:33" ht="18" outlineLevel="1" x14ac:dyDescent="0.25">
      <c r="B23" s="5" t="s">
        <v>71</v>
      </c>
      <c r="C23" s="22">
        <f>[1]!PVT_Pb_atma(Tres_C_,gamma_gas_,gamma_oil_,gamma_w_,Rsb_m3m3_,,Pb_atma_,Tres_C_,Bob_m3m3_,mu_cP_,PVT_correlation_,Ksep_,Psep_atma_,Tsep_C_)</f>
        <v>31.515066652350537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34.174227597200854</v>
      </c>
      <c r="H23" s="2"/>
    </row>
    <row r="24" spans="2:33" ht="18" outlineLevel="1" x14ac:dyDescent="0.25">
      <c r="B24" s="5" t="s">
        <v>16</v>
      </c>
      <c r="C24" s="24">
        <f>Tres_C_</f>
        <v>16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29.25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72</v>
      </c>
      <c r="C26" s="26">
        <f>[1]!PVT_Bo_m3m3(C23,Tres_C_,gamma_gas_,gamma_oil_,gamma_w_,Rsb_m3m3_,,Pb_atma_,Tres_C_,Bob_m3m3_,mu_cP_,PVT_correlation_,Ksep_,Psep_atma_,Tsep_C_)</f>
        <v>1.0394715768555258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73</v>
      </c>
      <c r="C27" s="22">
        <f>[1]!PVT_Rhoo_kgm3(C23,Tres_C_,gamma_gas_,gamma_oil_,gamma_w_,Rsb_m3m3_,,Pb_atma_,Tres_C_,Bob_m3m3_,mu_cP_,PVT_correlation_,Ksep_,Psep_atma_,Tsep_C_)</f>
        <v>935.90395706395509</v>
      </c>
      <c r="D27" s="5" t="s">
        <v>74</v>
      </c>
      <c r="E27" s="2"/>
      <c r="F27" s="2"/>
      <c r="G27" s="10"/>
      <c r="H27" s="2"/>
    </row>
    <row r="28" spans="2:33" ht="18" outlineLevel="1" x14ac:dyDescent="0.25">
      <c r="B28" s="8" t="s">
        <v>75</v>
      </c>
      <c r="C28" s="27">
        <f>[1]!PVT_Muo_cP(C23,Tres_C_,gamma_gas_,gamma_oil_,gamma_w_,Rsb_m3m3_,,Pb_atma_,Tres_C_,Bob_m3m3_,mu_cP_,PVT_correlation_,Ksep_,Psep_atma_,Tsep_C_)</f>
        <v>140.47888455647546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76</v>
      </c>
      <c r="C31" s="2"/>
      <c r="D31" s="2"/>
      <c r="E31" s="2"/>
      <c r="F31" s="2"/>
      <c r="G31" s="28"/>
      <c r="H31" s="2" t="s">
        <v>77</v>
      </c>
      <c r="I31" s="2"/>
      <c r="J31" s="2"/>
      <c r="K31" s="2"/>
      <c r="L31" s="2" t="s">
        <v>78</v>
      </c>
      <c r="M31" s="2"/>
      <c r="N31" s="2"/>
      <c r="Q31" s="2" t="s">
        <v>79</v>
      </c>
      <c r="R31" s="2"/>
      <c r="S31" s="2"/>
      <c r="T31" s="2"/>
      <c r="U31" s="2"/>
      <c r="V31" s="2"/>
      <c r="W31" s="2"/>
      <c r="X31" s="2"/>
      <c r="Z31" s="2" t="s">
        <v>80</v>
      </c>
      <c r="AA31" s="2"/>
      <c r="AB31" s="2"/>
    </row>
    <row r="32" spans="2:33" ht="18" outlineLevel="1" x14ac:dyDescent="0.35">
      <c r="B32" s="5" t="s">
        <v>81</v>
      </c>
      <c r="C32" s="22">
        <f>[1]!PVT_Rhoo_kgm3(Psc_atma_,Tsc_C_,gamma_gas_,gamma_oil_,gamma_w_,Rsb_m3m3_,,Pb_atma_,Tres_C_,Bob_m3m3_,mu_cP_,PVT_correlation_,Ksep_,Psep_atma_,Tsep_C_)</f>
        <v>943.97704355354642</v>
      </c>
      <c r="D32" s="5" t="s">
        <v>74</v>
      </c>
      <c r="E32" s="29">
        <f>[1]!PVT_Rhoo_kgm3(Psc_atma_,Tsc_C_,gamma_gas_,gamma_oil_,gamma_w_,Rsb_m3m3_,,,,,,PVT_correlation_,Ksep_,Psep_atma_,Tsep_C_)</f>
        <v>943.35591422855964</v>
      </c>
      <c r="F32" s="30">
        <f t="shared" ref="F32:F37" si="0">(E32-C32)/E32</f>
        <v>-6.5842521959987705E-4</v>
      </c>
      <c r="G32" s="31"/>
      <c r="H32" s="5" t="s">
        <v>82</v>
      </c>
      <c r="I32" s="27">
        <f>[1]!PVT_Rhog_kgm3(Psc_atma_,Tsc_C_,gamma_gas_,gamma_oil_,gamma_w_,Rsb_m3m3_,,Pb_atma_,Tres_C_,Bob_m3m3_,mu_cP_,PVT_correlation_,Ksep_,Psep_atma_,Tsep_C_)</f>
        <v>1.1183989348352967</v>
      </c>
      <c r="J32" s="5" t="s">
        <v>74</v>
      </c>
      <c r="L32" s="5" t="s">
        <v>83</v>
      </c>
      <c r="M32" s="22">
        <f>[1]!PVT_Rhow_kgm3(Psc_atma_,Tsc_C_,gamma_gas_,gamma_oil_,gamma_w_,Rsb_m3m3_,,Pb_atma_,Tres_C_,Bob_m3m3_,mu_cP_,PVT_correlation_,Ksep_,Psep_atma_,Tsep_C_)</f>
        <v>1011.3437826301599</v>
      </c>
      <c r="N32" s="5" t="s">
        <v>74</v>
      </c>
      <c r="Q32" s="5" t="s">
        <v>84</v>
      </c>
      <c r="R32" s="32">
        <v>0.94499999999999995</v>
      </c>
      <c r="S32" s="2"/>
      <c r="T32" s="2" t="s">
        <v>85</v>
      </c>
      <c r="U32" s="2"/>
      <c r="V32" s="2" t="s">
        <v>86</v>
      </c>
      <c r="W32" s="2"/>
      <c r="X32" s="2" t="s">
        <v>87</v>
      </c>
      <c r="Z32" s="5" t="s">
        <v>71</v>
      </c>
      <c r="AA32" s="33">
        <f>ABS(U33)</f>
        <v>0.10661738597748292</v>
      </c>
      <c r="AB32" s="34">
        <f>ABS(Pb_diff_)</f>
        <v>0.11520173556035357</v>
      </c>
      <c r="AD32" s="2" t="str">
        <f>Q34&amp; " = "&amp;IFERROR(TEXT(gamma_gas_diff_total_*100,"0.0") &amp; "%",TEXT(gamma_gas_diff_total_*100,"0,0") &amp; "%")</f>
        <v>Сумм откл = 9.7%</v>
      </c>
      <c r="AE32" s="2"/>
      <c r="AF32" s="2"/>
      <c r="AG32" s="2"/>
    </row>
    <row r="33" spans="2:33" ht="18" outlineLevel="1" x14ac:dyDescent="0.25">
      <c r="B33" s="5" t="s">
        <v>88</v>
      </c>
      <c r="C33" s="27">
        <f>[1]!PVT_Muo_cP(Psc_atma_,Tsc_C_,gamma_gas_,gamma_oil_,gamma_w_,Rsb_m3m3_,,Pb_atma_,Tres_C_,Bob_m3m3_,mu_cP_,PVT_correlation_,Ksep_,Psep_atma_,Tsep_C_)</f>
        <v>355.68254854191684</v>
      </c>
      <c r="D33" s="5" t="s">
        <v>7</v>
      </c>
      <c r="E33" s="29">
        <f>[1]!PVT_Muo_cP(Psc_atma_,Tsc_C_,gamma_gas_,gamma_oil_,gamma_w_,Rsb_m3m3_,,,,,,PVT_correlation_,Ksep_,Psep_atma_,Tsep_C_)</f>
        <v>370.80949983757262</v>
      </c>
      <c r="F33" s="30">
        <f t="shared" si="0"/>
        <v>4.0794400635048182E-2</v>
      </c>
      <c r="G33" s="31"/>
      <c r="H33" s="5" t="s">
        <v>89</v>
      </c>
      <c r="I33" s="39">
        <f>[1]!PVT_Mug_cP(Psc_atma_,Tsc_C_,gamma_gas_,gamma_oil_,gamma_w_,Rsb_m3m3_,,Pb_atma_,Tres_C_,Bob_m3m3_,mu_cP_,PVT_correlation_,Ksep_,Psep_atma_,Tsep_C_)</f>
        <v>9.419629445256433E-3</v>
      </c>
      <c r="J33" s="5" t="s">
        <v>7</v>
      </c>
      <c r="L33" s="5" t="s">
        <v>90</v>
      </c>
      <c r="M33" s="26">
        <f>[1]!PVT_Muw_cP(Psc_atma_,Tsc_C_,gamma_gas_,gamma_oil_,gamma_w_,Rsb_m3m3_,,Pb_atma_,Tres_C_,Bob_m3m3_,mu_cP_,PVT_correlation_,Ksep_,Psep_atma_,Tsep_C_)</f>
        <v>1.1947337392127508</v>
      </c>
      <c r="N33" s="5" t="s">
        <v>7</v>
      </c>
      <c r="Q33" s="5" t="s">
        <v>91</v>
      </c>
      <c r="R33" s="32">
        <v>0.87804251504460373</v>
      </c>
      <c r="S33" s="5" t="s">
        <v>71</v>
      </c>
      <c r="T33" s="29">
        <f>[1]!PVT_Pb_atma(Tres_C_,gamma_gas_,gamma_oil_,gamma_w_,Rsb_m3m3_,,,Tres_C_,,,PVT_correlation_,Ksep_,Psep_atma_,Tsep_C_)</f>
        <v>35.276113680399227</v>
      </c>
      <c r="U33" s="30">
        <f>(T33-C23)/T33</f>
        <v>0.10661738597748292</v>
      </c>
      <c r="V33" s="29">
        <f>[1]!PVT_Pb_atma(Tres_C_,gamma_gas_new_,gamma_oil_new_,gamma_w_,Rsb_m3m3_,,,Tres_C_,,,PVT_correlation_,Ksep_,Psep_atma_,Tsep_C_)</f>
        <v>35.618364003357776</v>
      </c>
      <c r="W33" s="30">
        <f>(V33-C23)/V33</f>
        <v>0.11520173556035357</v>
      </c>
      <c r="X33" s="2">
        <v>2</v>
      </c>
      <c r="Z33" s="7" t="s">
        <v>72</v>
      </c>
      <c r="AA33" s="33">
        <f>ABS(U34)</f>
        <v>0.17545597464793267</v>
      </c>
      <c r="AB33" s="33">
        <f>ABS(W34)</f>
        <v>0.15949021827522999</v>
      </c>
      <c r="AD33" s="2" t="str">
        <f>F9 &amp;" = "&amp;IFERROR(  TEXT(gamma_gas_,"0.00"),TEXT(gamma_gas_,"0,00")) &amp;",  "&amp; F8 &amp;" = "&amp;  IFERROR(TEXT(gamma_oil_,"0.00"),TEXT(gamma_oil_,"0,00"))</f>
        <v>γg = 0.90,  γo = 0.95</v>
      </c>
      <c r="AE33" s="2"/>
      <c r="AF33" s="2"/>
      <c r="AG33" s="2"/>
    </row>
    <row r="34" spans="2:33" ht="18" outlineLevel="1" x14ac:dyDescent="0.25">
      <c r="B34" s="5" t="s">
        <v>92</v>
      </c>
      <c r="C34" s="27">
        <f>[1]!PVT_Rs_m3m3(P_atma_,T_C_,gamma_gas_,gamma_oil_,gamma_w_,Rsb_m3m3_,,Pb_atma_,Tres_C_,Bob_m3m3_,mu_cP_,PVT_correlation_,Ksep_,Psep_atma_,Tsep_C_)</f>
        <v>23.738610027054975</v>
      </c>
      <c r="D34" s="5" t="s">
        <v>17</v>
      </c>
      <c r="E34" s="29">
        <f>[1]!PVT_Rs_m3m3(P_atma_,T_C_,gamma_gas_,gamma_oil_,gamma_w_,Rsb_m3m3_,,,,,,PVT_correlation_,Ksep_,Psep_atma_,Tsep_C_)</f>
        <v>20.507359771321575</v>
      </c>
      <c r="F34" s="30">
        <f t="shared" si="0"/>
        <v>-0.15756539563187102</v>
      </c>
      <c r="G34" s="31"/>
      <c r="H34" s="5" t="s">
        <v>93</v>
      </c>
      <c r="I34" s="26">
        <f>[1]!PVT_Z(P_atma_,T_C_,gamma_gas_,gamma_oil_,gamma_w_,Rsb_m3m3_,,Pb_atma_,Tres_C_,Bob_m3m3_,mu_cP_,PVT_correlation_,Ksep_,Psep_atma_,Tsep_C_)</f>
        <v>0.91746966084166959</v>
      </c>
      <c r="J34" s="5"/>
      <c r="L34" s="5" t="s">
        <v>94</v>
      </c>
      <c r="M34" s="22">
        <f>[1]!PVT_Sal_ppm(Psc_atma_,Tsc_C_,gamma_gas_,gamma_oil_,gamma_w_,Rsb_m3m3_,,Pb_atma_,Tres_C_,Bob_m3m3_,mu_cP_,PVT_correlation_,Ksep_,Psep_atma_,Tsep_C_)</f>
        <v>16916.055461760494</v>
      </c>
      <c r="N34" s="5" t="s">
        <v>164</v>
      </c>
      <c r="Q34" s="35" t="s">
        <v>95</v>
      </c>
      <c r="R34" s="36">
        <f>((X33*W33^2+X34*W34^2+X35*W35^2+X36*W36^2+X37*W37^2+X38*W38^2)/SUM(X33:X38))^0.5</f>
        <v>9.7132087539835946E-2</v>
      </c>
      <c r="S34" s="7" t="s">
        <v>72</v>
      </c>
      <c r="T34" s="37">
        <f>[1]!PVT_Bo_m3m3(T33,Tres_C_,gamma_gas_,gamma_oil_,gamma_w_,Rsb_m3m3_,,,,,,PVT_correlation_,Ksep_,Psep_atma_,Tsep_C_)</f>
        <v>1.047870793604589</v>
      </c>
      <c r="U34" s="30">
        <f>(T34-C26)/(T34-1)</f>
        <v>0.17545597464793267</v>
      </c>
      <c r="V34" s="37">
        <f>[1]!PVT_Bo_m3m3(V33,Tres_C_,gamma_gas_new_,gamma_oil_new_,gamma_w_,Rsb_m3m3_,,,,,,PVT_correlation_,Ksep_,Psep_atma_,Tsep_C_)</f>
        <v>1.0469614723275773</v>
      </c>
      <c r="W34" s="30">
        <f>(V34-C26)/(V34-1)</f>
        <v>0.15949021827522999</v>
      </c>
      <c r="X34" s="2">
        <v>2</v>
      </c>
      <c r="Z34" s="8" t="s">
        <v>75</v>
      </c>
      <c r="AA34" s="33">
        <f>ABS(U36)</f>
        <v>7.7370469049964169E-2</v>
      </c>
      <c r="AB34" s="33">
        <f>ABS(W36)</f>
        <v>8.8539690477160468E-2</v>
      </c>
      <c r="AD34" s="2" t="str">
        <f>Q33&amp;" = "&amp;IFERROR(TEXT(gamma_gas_new_,"0.00"),TEXT(gamma_gas_new_,"0,00"))&amp;",  "&amp;Q32&amp;" = "&amp;IFERROR(TEXT(gamma_oil_new_,"0.00"),TEXT(gamma_oil_new_,"0,00"))</f>
        <v>γg new  = 0.88,  γo new  = 0.95</v>
      </c>
      <c r="AE34" s="2"/>
      <c r="AF34" s="2"/>
      <c r="AG34" s="2"/>
    </row>
    <row r="35" spans="2:33" ht="18" outlineLevel="1" x14ac:dyDescent="0.25">
      <c r="B35" s="5" t="s">
        <v>96</v>
      </c>
      <c r="C35" s="26">
        <f>[1]!PVT_Bo_m3m3(P_atma_,T_C_,gamma_gas_,gamma_oil_,gamma_w_,Rsb_m3m3_,,Pb_atma_,Tres_C_,Bob_m3m3_,mu_cP_,PVT_correlation_,Ksep_,Psep_atma_,Tsep_C_)</f>
        <v>1.0452957021409368</v>
      </c>
      <c r="D35" s="5" t="s">
        <v>17</v>
      </c>
      <c r="E35" s="29">
        <f>[1]!PVT_Bo_m3m3(P_atma_,T_C_,gamma_gas_,gamma_oil_,gamma_w_,Rsb_m3m3_,,,,,,PVT_correlation_,Ksep_,Psep_atma_,Tsep_C_)</f>
        <v>1.0538248429635644</v>
      </c>
      <c r="F35" s="30">
        <f t="shared" si="0"/>
        <v>8.0935089731249202E-3</v>
      </c>
      <c r="G35" s="31"/>
      <c r="H35" s="5" t="s">
        <v>97</v>
      </c>
      <c r="I35" s="39">
        <f>[1]!PVT_Bg_m3m3(P_atma_,T_C_,gamma_gas_,gamma_oil_,gamma_w_,Rsb_m3m3_,,Pb_atma_,Tres_C_,Bob_m3m3_,mu_cP_,PVT_correlation_,Ksep_,Psep_atma_,Tsep_C_)</f>
        <v>3.175420220022887E-2</v>
      </c>
      <c r="J35" s="5" t="s">
        <v>17</v>
      </c>
      <c r="L35" s="5" t="s">
        <v>98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73</v>
      </c>
      <c r="T35" s="29">
        <f>[1]!PVT_Rhoo_kgm3(C23,Tres_C_,gamma_gas_,gamma_oil_,gamma_w_,Rsb_m3m3_,,,,,,PVT_correlation_,Ksep_,Psep_atma_,Tsep_C_)</f>
        <v>927.26567593816526</v>
      </c>
      <c r="U35" s="30">
        <f>(T35-C27)/T35</f>
        <v>-9.3158642123251367E-3</v>
      </c>
      <c r="V35" s="29">
        <f>[1]!PVT_Rhoo_kgm3(C23,Tres_C_,gamma_gas_new_,gamma_oil_new_,gamma_w_,Rsb_m3m3_,,,,,,PVT_correlation_,Ksep_,Psep_atma_,Tsep_C_)</f>
        <v>927.23613485077044</v>
      </c>
      <c r="W35" s="30">
        <f>(V35-C27)/V35</f>
        <v>-9.348020301839996E-3</v>
      </c>
      <c r="X35" s="2">
        <v>0</v>
      </c>
      <c r="Z35" s="5" t="s">
        <v>102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99</v>
      </c>
      <c r="C36" s="22">
        <f>[1]!PVT_Rhoo_kgm3(P_atma_,T_C_,gamma_gas_,gamma_oil_,gamma_w_,Rsb_m3m3_,,Pb_atma_,Tres_C_,Bob_m3m3_,mu_cP_,PVT_correlation_,Ksep_,Psep_atma_,Tsep_C_)</f>
        <v>929.02067031756962</v>
      </c>
      <c r="D36" s="5" t="s">
        <v>74</v>
      </c>
      <c r="E36" s="29">
        <f>[1]!PVT_Rhoo_kgm3(P_atma_,T_C_,gamma_gas_,gamma_oil_,gamma_w_,Rsb_m3m3_,,,,,,PVT_correlation_,Ksep_,Psep_atma_,Tsep_C_)</f>
        <v>918.13024123479863</v>
      </c>
      <c r="F36" s="30">
        <f t="shared" si="0"/>
        <v>-1.186152965414187E-2</v>
      </c>
      <c r="G36" s="31"/>
      <c r="H36" s="5" t="s">
        <v>100</v>
      </c>
      <c r="I36" s="22">
        <f>[1]!PVT_Rhog_kgm3(P_atma_,T_C_,gamma_gas_,gamma_oil_,gamma_w_,Rsb_m3m3_,,Pb_atma_,Tres_C_,Bob_m3m3_,mu_cP_,PVT_correlation_,Ksep_,Psep_atma_,Tsep_C_)</f>
        <v>34.626283257466788</v>
      </c>
      <c r="J36" s="5" t="s">
        <v>74</v>
      </c>
      <c r="L36" s="5" t="s">
        <v>101</v>
      </c>
      <c r="M36" s="22">
        <f>[1]!PVT_Rhow_kgm3(P_atma_,T_C_,gamma_gas_,gamma_oil_,gamma_w_,Rsb_m3m3_,,Pb_atma_,Tres_C_,Bob_m3m3_,mu_cP_,PVT_correlation_,Ksep_,Psep_atma_,Tsep_C_)</f>
        <v>1005.8433975278614</v>
      </c>
      <c r="N36" s="5" t="s">
        <v>74</v>
      </c>
      <c r="S36" s="8" t="s">
        <v>75</v>
      </c>
      <c r="T36" s="38">
        <f>[1]!PVT_Muo_cP(T33,Tres_C_,gamma_gas_,gamma_oil_,gamma_w_,Rsb_m3m3_,,,,,,PVT_correlation_,Ksep_,Psep_atma_,Tsep_C_)</f>
        <v>152.25925449386355</v>
      </c>
      <c r="U36" s="30">
        <f>(T36-C28)/T36</f>
        <v>7.7370469049964169E-2</v>
      </c>
      <c r="V36" s="38">
        <f>[1]!PVT_Muo_cP(V33,Tres_C_,gamma_gas_new_,gamma_oil_new_,gamma_w_,Rsb_m3m3_,,,,,,PVT_correlation_,Ksep_,Psep_atma_,Tsep_C_)</f>
        <v>154.12507060238076</v>
      </c>
      <c r="W36" s="30">
        <f>(V36-C28)/V36</f>
        <v>8.8539690477160468E-2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2.4397205505995875E-2</v>
      </c>
    </row>
    <row r="37" spans="2:33" ht="18" outlineLevel="1" x14ac:dyDescent="0.25">
      <c r="B37" s="5" t="s">
        <v>103</v>
      </c>
      <c r="C37" s="27">
        <f>[1]!PVT_Muo_cP(P_atma_,T_C_,gamma_gas_,gamma_oil_,gamma_w_,Rsb_m3m3_,,Pb_atma_,Tres_C_,Bob_m3m3_,mu_cP_,PVT_correlation_,Ksep_,Psep_atma_,Tsep_C_)</f>
        <v>80.337034247277529</v>
      </c>
      <c r="D37" s="5" t="s">
        <v>7</v>
      </c>
      <c r="E37" s="29">
        <f>[1]!PVT_Muo_cP(P_atma_,T_C_,gamma_gas_,gamma_oil_,gamma_w_,Rsb_m3m3_,,,,,,PVT_correlation_,Ksep_,Psep_atma_,Tsep_C_)</f>
        <v>89.15228839106959</v>
      </c>
      <c r="F37" s="30">
        <f t="shared" si="0"/>
        <v>9.8878607637345711E-2</v>
      </c>
      <c r="G37" s="31"/>
      <c r="H37" s="5" t="s">
        <v>104</v>
      </c>
      <c r="I37" s="39">
        <f>[1]!PVT_Mug_cP(P_atma_,T_C_,gamma_gas_,gamma_oil_,gamma_w_,Rsb_m3m3_,,Pb_atma_,Tres_C_,Bob_m3m3_,mu_cP_,PVT_correlation_,Ksep_,Psep_atma_,Tsep_C_)</f>
        <v>1.0869448804145528E-2</v>
      </c>
      <c r="J37" s="5" t="s">
        <v>7</v>
      </c>
      <c r="L37" s="5" t="s">
        <v>105</v>
      </c>
      <c r="M37" s="26">
        <f>[1]!PVT_Muw_cP(P_atma_,T_C_,gamma_gas_,gamma_oil_,gamma_w_,Rsb_m3m3_,,Pb_atma_,Tres_C_,Bob_m3m3_,mu_cP_,PVT_correlation_,Ksep_,Psep_atma_,Tsep_C_)</f>
        <v>0.80687439105130299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106</v>
      </c>
      <c r="C38" s="27"/>
      <c r="D38" s="5"/>
      <c r="E38" s="29"/>
      <c r="F38" s="30"/>
      <c r="G38" s="31"/>
      <c r="H38" s="5" t="s">
        <v>107</v>
      </c>
      <c r="I38" s="22"/>
      <c r="J38" s="5"/>
      <c r="L38" s="5" t="s">
        <v>108</v>
      </c>
      <c r="M38" s="22"/>
      <c r="N38" s="5"/>
      <c r="S38" s="5" t="s">
        <v>13</v>
      </c>
      <c r="W38" s="30">
        <f>(R33-G9)/R33</f>
        <v>-2.5007314086927634E-2</v>
      </c>
      <c r="X38" s="2">
        <v>2</v>
      </c>
      <c r="Z38" s="8" t="s">
        <v>73</v>
      </c>
      <c r="AA38" s="33">
        <f>ABS(U35)</f>
        <v>9.3158642123251367E-3</v>
      </c>
      <c r="AB38" s="33">
        <f>ABS(W35)</f>
        <v>9.348020301839996E-3</v>
      </c>
    </row>
    <row r="39" spans="2:33" ht="18" outlineLevel="1" x14ac:dyDescent="0.25">
      <c r="B39" s="5" t="s">
        <v>109</v>
      </c>
      <c r="C39" s="27"/>
      <c r="D39" s="5"/>
      <c r="E39" s="29"/>
      <c r="F39" s="30"/>
      <c r="G39" s="31"/>
      <c r="H39" s="5" t="s">
        <v>110</v>
      </c>
      <c r="I39" s="22"/>
      <c r="J39" s="5"/>
      <c r="L39" s="5" t="s">
        <v>111</v>
      </c>
      <c r="M39" s="22"/>
      <c r="N39" s="5"/>
    </row>
    <row r="40" spans="2:33" ht="18" outlineLevel="1" x14ac:dyDescent="0.25">
      <c r="B40" s="5" t="s">
        <v>166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165</v>
      </c>
      <c r="L40" s="5" t="s">
        <v>167</v>
      </c>
      <c r="M40" s="51">
        <f>PVT_STwatgas_Nm(P_atma_,T_C_,gamma_gas_,gamma_oil_,gamma_w_,Rsb_m3m3_,,Pb_atma_,Tres_C_,Bob_m3m3_,mu_cP_,PVT_correlation_,Ksep_,Psep_atma_,Tsep_C_)</f>
        <v>6.0255958607435781E-2</v>
      </c>
      <c r="N40" s="5" t="s">
        <v>165</v>
      </c>
    </row>
    <row r="41" spans="2:33" outlineLevel="1" x14ac:dyDescent="0.25">
      <c r="L41" s="31"/>
    </row>
    <row r="42" spans="2:33" outlineLevel="1" x14ac:dyDescent="0.25">
      <c r="B42" s="2" t="s">
        <v>112</v>
      </c>
      <c r="C42" s="2"/>
      <c r="D42" s="2"/>
      <c r="E42" s="28"/>
      <c r="F42" s="31"/>
      <c r="L42" s="31"/>
    </row>
    <row r="43" spans="2:33" ht="18" outlineLevel="1" x14ac:dyDescent="0.25">
      <c r="B43" s="7" t="s">
        <v>113</v>
      </c>
      <c r="C43" s="40" t="e">
        <f>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114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74</v>
      </c>
      <c r="E44" s="28"/>
      <c r="F44" s="31"/>
    </row>
    <row r="45" spans="2:33" ht="18" outlineLevel="1" x14ac:dyDescent="0.25">
      <c r="B45" s="5" t="s">
        <v>115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116</v>
      </c>
      <c r="E46" s="31"/>
      <c r="F46" s="31"/>
    </row>
    <row r="47" spans="2:33" ht="18" outlineLevel="1" x14ac:dyDescent="0.25">
      <c r="B47" s="5" t="s">
        <v>117</v>
      </c>
      <c r="E47" s="31"/>
      <c r="F47" s="31"/>
    </row>
    <row r="48" spans="2:33" ht="18" outlineLevel="1" x14ac:dyDescent="0.25">
      <c r="B48" s="5" t="s">
        <v>118</v>
      </c>
      <c r="E48" s="31"/>
      <c r="F48" s="31"/>
    </row>
    <row r="49" spans="1:29" outlineLevel="1" x14ac:dyDescent="0.25">
      <c r="B49" s="5"/>
      <c r="C49">
        <f>[1]!PVT_STliqgas_Nm(P_atma_,T_C_,gamma_gas_,gamma_oil_,gamma_w_,Rsb_m3m3_,,Pb_atma_,Tres_C_,Bob_m3m3_,mu_cP_,PVT_correlation_,Ksep_,Psep_atma_,Tsep_C_)</f>
        <v>4.2196451605605201E-2</v>
      </c>
      <c r="D49" s="5" t="s">
        <v>165</v>
      </c>
      <c r="E49" s="31"/>
      <c r="F49" s="31"/>
    </row>
    <row r="50" spans="1:29" ht="18" outlineLevel="1" x14ac:dyDescent="0.25">
      <c r="B50" s="5" t="s">
        <v>202</v>
      </c>
      <c r="C50" t="e">
        <f>C45/1000/C44*10^6</f>
        <v>#VALUE!</v>
      </c>
      <c r="D50" s="5" t="s">
        <v>199</v>
      </c>
      <c r="E50" s="31" t="s">
        <v>198</v>
      </c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119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120</v>
      </c>
      <c r="C58" s="5" t="s">
        <v>120</v>
      </c>
      <c r="D58" s="5" t="s">
        <v>92</v>
      </c>
      <c r="E58" s="5" t="s">
        <v>121</v>
      </c>
      <c r="F58" s="5" t="s">
        <v>154</v>
      </c>
      <c r="G58" s="5" t="s">
        <v>96</v>
      </c>
      <c r="H58" s="5" t="s">
        <v>122</v>
      </c>
      <c r="I58" s="5" t="s">
        <v>155</v>
      </c>
      <c r="J58" s="5" t="s">
        <v>99</v>
      </c>
      <c r="K58" s="5" t="s">
        <v>123</v>
      </c>
      <c r="L58" s="5" t="s">
        <v>156</v>
      </c>
      <c r="M58" s="5" t="s">
        <v>103</v>
      </c>
      <c r="N58" s="5" t="s">
        <v>124</v>
      </c>
      <c r="O58" s="5" t="s">
        <v>157</v>
      </c>
      <c r="P58" s="5" t="s">
        <v>158</v>
      </c>
      <c r="Q58" s="5" t="s">
        <v>159</v>
      </c>
      <c r="R58" s="5" t="s">
        <v>160</v>
      </c>
      <c r="Y58" t="s">
        <v>314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2.1170216379989957</v>
      </c>
      <c r="E59" s="2">
        <v>2.4898460872964363</v>
      </c>
      <c r="F59">
        <v>0.24272689260248329</v>
      </c>
      <c r="G59" s="2">
        <v>1.0120509661176658</v>
      </c>
      <c r="H59" s="10">
        <v>1.0127655630895147</v>
      </c>
      <c r="I59">
        <v>1.0111247917128516</v>
      </c>
      <c r="J59" s="2">
        <v>936.04745266503528</v>
      </c>
      <c r="K59" s="2">
        <v>935.79175182183587</v>
      </c>
      <c r="L59">
        <v>934.86668831345264</v>
      </c>
      <c r="M59" s="2">
        <v>182.82319397430365</v>
      </c>
      <c r="N59" s="2">
        <v>179.69389732201705</v>
      </c>
      <c r="O59">
        <v>199.82843710814097</v>
      </c>
      <c r="P59">
        <v>0.95285696985896406</v>
      </c>
      <c r="Q59">
        <v>0.95285696985896406</v>
      </c>
      <c r="R59">
        <v>0.96697858897638356</v>
      </c>
    </row>
    <row r="60" spans="1:29" outlineLevel="1" x14ac:dyDescent="0.25">
      <c r="A60" s="44">
        <v>2</v>
      </c>
      <c r="B60" s="46">
        <f>($B$79-$B$59)/($A$79-$A$59)+B59</f>
        <v>2.6587113798600428</v>
      </c>
      <c r="C60" s="2">
        <v>2.6587113798600428</v>
      </c>
      <c r="D60" s="2">
        <v>5.9182920276474258</v>
      </c>
      <c r="E60" s="2">
        <v>6.0198729048832016</v>
      </c>
      <c r="F60">
        <v>4.9305767908020242</v>
      </c>
      <c r="G60" s="2">
        <v>1.0185127776908613</v>
      </c>
      <c r="H60" s="10">
        <v>1.0187873018969222</v>
      </c>
      <c r="I60">
        <v>1.0211740337853203</v>
      </c>
      <c r="J60" s="2">
        <v>934.21247182621039</v>
      </c>
      <c r="K60" s="2">
        <v>934.07036884268905</v>
      </c>
      <c r="L60">
        <v>930.71434021460436</v>
      </c>
      <c r="M60" s="2">
        <v>154.26566855947684</v>
      </c>
      <c r="N60" s="2">
        <v>153.59475617281703</v>
      </c>
      <c r="O60">
        <v>161.01996975687786</v>
      </c>
      <c r="P60">
        <v>0.92971295888172611</v>
      </c>
      <c r="Q60">
        <v>0.92971295888172611</v>
      </c>
      <c r="R60">
        <v>0.95180896485901012</v>
      </c>
    </row>
    <row r="61" spans="1:29" outlineLevel="1" x14ac:dyDescent="0.25">
      <c r="A61" s="44">
        <v>3</v>
      </c>
      <c r="B61" s="46">
        <f t="shared" ref="B61:B78" si="1">($B$79-$B$59)/($A$79-$A$59)+B60</f>
        <v>4.3174227597200856</v>
      </c>
      <c r="C61" s="2">
        <v>4.3174227597200856</v>
      </c>
      <c r="D61" s="2">
        <v>8.0449409040946911</v>
      </c>
      <c r="E61" s="2">
        <v>8.0842399153302473</v>
      </c>
      <c r="F61">
        <v>6.8987932045254414</v>
      </c>
      <c r="G61" s="2">
        <v>1.0221040628394933</v>
      </c>
      <c r="H61" s="10">
        <v>1.0222800427341854</v>
      </c>
      <c r="I61">
        <v>1.0253638237221769</v>
      </c>
      <c r="J61" s="2">
        <v>933.21775008154611</v>
      </c>
      <c r="K61" s="2">
        <v>933.09937046490347</v>
      </c>
      <c r="L61">
        <v>929.02188282222403</v>
      </c>
      <c r="M61" s="2">
        <v>141.06869536099902</v>
      </c>
      <c r="N61" s="2">
        <v>140.84069888898412</v>
      </c>
      <c r="O61">
        <v>147.96484928581665</v>
      </c>
      <c r="P61">
        <v>0.90412998814661905</v>
      </c>
      <c r="Q61">
        <v>0.90412998814661905</v>
      </c>
      <c r="R61">
        <v>0.93726610482551453</v>
      </c>
    </row>
    <row r="62" spans="1:29" outlineLevel="1" x14ac:dyDescent="0.25">
      <c r="A62" s="44">
        <v>4</v>
      </c>
      <c r="B62" s="46">
        <f t="shared" si="1"/>
        <v>5.9761341395801288</v>
      </c>
      <c r="C62" s="2">
        <v>5.9761341395801288</v>
      </c>
      <c r="D62" s="2">
        <v>9.7011649337743631</v>
      </c>
      <c r="E62" s="2">
        <v>9.7006478666640028</v>
      </c>
      <c r="F62">
        <v>8.4019651423165254</v>
      </c>
      <c r="G62" s="2">
        <v>1.0248882391175786</v>
      </c>
      <c r="H62" s="10">
        <v>1.0249990384088079</v>
      </c>
      <c r="I62">
        <v>1.0285507215720753</v>
      </c>
      <c r="J62" s="2">
        <v>932.45944816622637</v>
      </c>
      <c r="K62" s="2">
        <v>932.35809745967549</v>
      </c>
      <c r="L62">
        <v>927.7502730000889</v>
      </c>
      <c r="M62" s="2">
        <v>131.91168274646836</v>
      </c>
      <c r="N62" s="2">
        <v>131.91440307734649</v>
      </c>
      <c r="O62">
        <v>139.01717660506307</v>
      </c>
      <c r="P62">
        <v>0.87614550400618441</v>
      </c>
      <c r="Q62">
        <v>0.87614550400618441</v>
      </c>
      <c r="R62">
        <v>0.92272428055623579</v>
      </c>
    </row>
    <row r="63" spans="1:29" outlineLevel="1" x14ac:dyDescent="0.25">
      <c r="A63" s="44">
        <v>5</v>
      </c>
      <c r="B63" s="46">
        <f t="shared" si="1"/>
        <v>7.6348455194401712</v>
      </c>
      <c r="C63" s="2">
        <v>7.6348455194401712</v>
      </c>
      <c r="D63" s="2">
        <v>11.105689394554798</v>
      </c>
      <c r="E63" s="2">
        <v>11.073949434363133</v>
      </c>
      <c r="F63">
        <v>9.6662149210064428</v>
      </c>
      <c r="G63" s="2">
        <v>1.0272402727279952</v>
      </c>
      <c r="H63" s="10">
        <v>1.0272977879398641</v>
      </c>
      <c r="I63">
        <v>1.0312220721410816</v>
      </c>
      <c r="J63" s="2">
        <v>931.82779537836166</v>
      </c>
      <c r="K63" s="2">
        <v>931.7416535482663</v>
      </c>
      <c r="L63">
        <v>926.69495650724832</v>
      </c>
      <c r="M63" s="2">
        <v>124.81732702825693</v>
      </c>
      <c r="N63" s="28">
        <v>124.97135851957442</v>
      </c>
      <c r="O63">
        <v>132.09574406938628</v>
      </c>
      <c r="P63">
        <v>0.84576647432525098</v>
      </c>
      <c r="Q63">
        <v>0.84576647432525098</v>
      </c>
      <c r="R63">
        <v>0.90818380381578512</v>
      </c>
    </row>
    <row r="64" spans="1:29" outlineLevel="1" x14ac:dyDescent="0.25">
      <c r="A64" s="44">
        <v>6</v>
      </c>
      <c r="B64" s="46">
        <f t="shared" si="1"/>
        <v>9.2935568993002136</v>
      </c>
      <c r="C64" s="2">
        <v>9.2935568993002136</v>
      </c>
      <c r="D64" s="2">
        <v>12.347225203344887</v>
      </c>
      <c r="E64" s="2">
        <v>12.288812584791534</v>
      </c>
      <c r="F64">
        <v>10.778541906348199</v>
      </c>
      <c r="G64" s="2">
        <v>1.0293122931984253</v>
      </c>
      <c r="H64" s="10">
        <v>1.0293224530896248</v>
      </c>
      <c r="I64">
        <v>1.0335654309978617</v>
      </c>
      <c r="J64" s="2">
        <v>931.27824360205568</v>
      </c>
      <c r="K64" s="2">
        <v>931.20665465353125</v>
      </c>
      <c r="L64">
        <v>925.7772188244428</v>
      </c>
      <c r="M64" s="2">
        <v>119.00575066228203</v>
      </c>
      <c r="N64" s="2">
        <v>119.27012174913426</v>
      </c>
      <c r="O64">
        <v>126.41851858387621</v>
      </c>
      <c r="P64">
        <v>0.81298364657501854</v>
      </c>
      <c r="Q64">
        <v>0.81298364657501854</v>
      </c>
      <c r="R64">
        <v>0.89366795628844398</v>
      </c>
    </row>
    <row r="65" spans="1:25" outlineLevel="1" x14ac:dyDescent="0.25">
      <c r="A65" s="44">
        <v>7</v>
      </c>
      <c r="B65" s="46">
        <f t="shared" si="1"/>
        <v>10.952268279160256</v>
      </c>
      <c r="C65" s="2">
        <v>10.952268279160256</v>
      </c>
      <c r="D65" s="2">
        <v>13.472196295236335</v>
      </c>
      <c r="E65" s="2">
        <v>13.389947293326884</v>
      </c>
      <c r="F65">
        <v>11.783358966610844</v>
      </c>
      <c r="G65" s="2">
        <v>1.031183936107176</v>
      </c>
      <c r="H65" s="10">
        <v>1.0311502435148114</v>
      </c>
      <c r="I65">
        <v>1.035676568114632</v>
      </c>
      <c r="J65" s="2">
        <v>930.78746708942435</v>
      </c>
      <c r="K65" s="2">
        <v>930.73017708466091</v>
      </c>
      <c r="L65">
        <v>924.95686991204366</v>
      </c>
      <c r="M65" s="2">
        <v>114.07879042851694</v>
      </c>
      <c r="N65" s="2">
        <v>114.42868978910272</v>
      </c>
      <c r="O65">
        <v>121.59448473228443</v>
      </c>
      <c r="P65">
        <v>0.77777899889197222</v>
      </c>
      <c r="Q65">
        <v>0.77777899889197222</v>
      </c>
      <c r="R65">
        <v>0.87920076667579583</v>
      </c>
    </row>
    <row r="66" spans="1:25" outlineLevel="1" x14ac:dyDescent="0.25">
      <c r="A66" s="44">
        <v>8</v>
      </c>
      <c r="B66" s="46">
        <f t="shared" si="1"/>
        <v>12.610979659020298</v>
      </c>
      <c r="C66" s="2">
        <v>12.610979659020298</v>
      </c>
      <c r="D66" s="2">
        <v>14.508493158455678</v>
      </c>
      <c r="E66" s="2">
        <v>14.404359382486886</v>
      </c>
      <c r="F66">
        <v>12.706955593102236</v>
      </c>
      <c r="G66" s="2">
        <v>1.0329030582542469</v>
      </c>
      <c r="H66" s="10">
        <v>1.0328278112182989</v>
      </c>
      <c r="I66">
        <v>1.0376121859810667</v>
      </c>
      <c r="J66" s="2">
        <v>930.3414447302182</v>
      </c>
      <c r="K66" s="2">
        <v>930.29836613176042</v>
      </c>
      <c r="L66">
        <v>924.2101161105503</v>
      </c>
      <c r="M66" s="2">
        <v>109.80262874441674</v>
      </c>
      <c r="N66" s="2">
        <v>110.22150423941967</v>
      </c>
      <c r="O66">
        <v>117.39658095485504</v>
      </c>
      <c r="P66">
        <v>0.74013022725169908</v>
      </c>
      <c r="Q66">
        <v>0.74013022725169908</v>
      </c>
      <c r="R66">
        <v>0.86480370895308278</v>
      </c>
    </row>
    <row r="67" spans="1:25" outlineLevel="1" x14ac:dyDescent="0.25">
      <c r="A67" s="44">
        <v>9</v>
      </c>
      <c r="B67" s="46">
        <f t="shared" si="1"/>
        <v>14.269691038880341</v>
      </c>
      <c r="C67" s="2">
        <v>14.269691038880341</v>
      </c>
      <c r="D67" s="2">
        <v>15.474416720623401</v>
      </c>
      <c r="E67" s="2">
        <v>15.349833010283209</v>
      </c>
      <c r="F67">
        <v>13.566411158837026</v>
      </c>
      <c r="G67" s="2">
        <v>1.0345010703082986</v>
      </c>
      <c r="H67" s="10">
        <v>1.0343858878475285</v>
      </c>
      <c r="I67">
        <v>1.0394091303964748</v>
      </c>
      <c r="J67" s="2">
        <v>929.93097158433147</v>
      </c>
      <c r="K67" s="2">
        <v>929.90209281700891</v>
      </c>
      <c r="L67">
        <v>923.52149696368656</v>
      </c>
      <c r="M67" s="2">
        <v>106.02709078927177</v>
      </c>
      <c r="N67" s="2">
        <v>106.50315989681812</v>
      </c>
      <c r="O67">
        <v>113.67992868591531</v>
      </c>
      <c r="P67">
        <v>0.70001376991594644</v>
      </c>
      <c r="Q67">
        <v>0.70001376991594644</v>
      </c>
      <c r="R67">
        <v>0.85049536224535927</v>
      </c>
    </row>
    <row r="68" spans="1:25" outlineLevel="1" x14ac:dyDescent="0.25">
      <c r="A68" s="44">
        <v>10</v>
      </c>
      <c r="B68" s="46">
        <f t="shared" si="1"/>
        <v>15.928402418740383</v>
      </c>
      <c r="C68" s="2">
        <v>15.928402418740383</v>
      </c>
      <c r="D68" s="2">
        <v>16.382739176478896</v>
      </c>
      <c r="E68" s="2">
        <v>16.238811563918656</v>
      </c>
      <c r="F68">
        <v>14.373559963224778</v>
      </c>
      <c r="G68" s="2">
        <v>1.0359998995215887</v>
      </c>
      <c r="H68" s="10">
        <v>1.0358459828256588</v>
      </c>
      <c r="I68">
        <v>1.0410929371965694</v>
      </c>
      <c r="J68" s="2">
        <v>929.54962027643137</v>
      </c>
      <c r="K68" s="2">
        <v>929.53496604999793</v>
      </c>
      <c r="L68">
        <v>922.88029825040917</v>
      </c>
      <c r="M68" s="2">
        <v>102.64947736739566</v>
      </c>
      <c r="N68" s="2">
        <v>103.1739536634373</v>
      </c>
      <c r="O68">
        <v>110.34584747621263</v>
      </c>
      <c r="P68">
        <v>0.65740704434178787</v>
      </c>
      <c r="Q68">
        <v>0.65740704434178787</v>
      </c>
      <c r="R68">
        <v>0.83629166255466625</v>
      </c>
    </row>
    <row r="69" spans="1:25" outlineLevel="1" x14ac:dyDescent="0.25">
      <c r="A69" s="44">
        <v>11</v>
      </c>
      <c r="B69" s="46">
        <f t="shared" si="1"/>
        <v>17.587113798600427</v>
      </c>
      <c r="C69" s="2">
        <v>17.587113798600427</v>
      </c>
      <c r="D69" s="2">
        <v>17.242790821494047</v>
      </c>
      <c r="E69" s="2">
        <v>17.08040258950555</v>
      </c>
      <c r="F69">
        <v>15.137000213492808</v>
      </c>
      <c r="G69" s="2">
        <v>1.0374155682470496</v>
      </c>
      <c r="H69" s="10">
        <v>1.0372238442008574</v>
      </c>
      <c r="I69">
        <v>1.0426821633052206</v>
      </c>
      <c r="J69" s="2">
        <v>929.19269316613975</v>
      </c>
      <c r="K69" s="2">
        <v>929.19230544858533</v>
      </c>
      <c r="L69">
        <v>922.27873429464546</v>
      </c>
      <c r="M69" s="2">
        <v>99.596207057628433</v>
      </c>
      <c r="N69" s="2">
        <v>100.162305568294</v>
      </c>
      <c r="O69">
        <v>107.32380786154592</v>
      </c>
      <c r="P69">
        <v>0.6122902316674339</v>
      </c>
      <c r="Q69">
        <v>0.6122902316674339</v>
      </c>
      <c r="R69">
        <v>0.82220624775894413</v>
      </c>
    </row>
    <row r="70" spans="1:25" outlineLevel="1" x14ac:dyDescent="0.25">
      <c r="A70" s="44">
        <v>12</v>
      </c>
      <c r="B70" s="46">
        <f t="shared" si="1"/>
        <v>19.245825178460471</v>
      </c>
      <c r="C70" s="2">
        <v>19.245825178460471</v>
      </c>
      <c r="D70" s="2">
        <v>18.061632225554259</v>
      </c>
      <c r="E70" s="2">
        <v>17.881508344082651</v>
      </c>
      <c r="F70">
        <v>15.863210736019761</v>
      </c>
      <c r="G70" s="2">
        <v>1.0387602042654869</v>
      </c>
      <c r="H70" s="10">
        <v>1.0385314104849903</v>
      </c>
      <c r="I70">
        <v>1.0441907943841726</v>
      </c>
      <c r="J70" s="2">
        <v>928.85663362818275</v>
      </c>
      <c r="K70" s="2">
        <v>928.87056195929199</v>
      </c>
      <c r="L70">
        <v>921.7109375764901</v>
      </c>
      <c r="M70" s="2">
        <v>96.812625970489833</v>
      </c>
      <c r="N70" s="2">
        <v>97.414963008683685</v>
      </c>
      <c r="O70">
        <v>104.56149749333076</v>
      </c>
      <c r="P70">
        <v>0.56464778641304303</v>
      </c>
      <c r="Q70">
        <v>0.56464778641304303</v>
      </c>
      <c r="R70">
        <v>0.80825077917220012</v>
      </c>
    </row>
    <row r="71" spans="1:25" outlineLevel="1" x14ac:dyDescent="0.25">
      <c r="A71" s="44">
        <v>13</v>
      </c>
      <c r="B71" s="46">
        <f t="shared" si="1"/>
        <v>20.904536558320515</v>
      </c>
      <c r="C71" s="2">
        <v>20.904536558320515</v>
      </c>
      <c r="D71" s="2">
        <v>18.844758510116748</v>
      </c>
      <c r="E71" s="2">
        <v>18.647507093989908</v>
      </c>
      <c r="F71">
        <v>16.557216538813584</v>
      </c>
      <c r="G71" s="2">
        <v>1.0400432488038602</v>
      </c>
      <c r="H71" s="10">
        <v>1.0397779870562045</v>
      </c>
      <c r="I71">
        <v>1.045629679959996</v>
      </c>
      <c r="J71" s="2">
        <v>928.53867224780379</v>
      </c>
      <c r="K71" s="2">
        <v>928.5669686166043</v>
      </c>
      <c r="L71">
        <v>921.17235648644964</v>
      </c>
      <c r="M71" s="2">
        <v>94.256954684916991</v>
      </c>
      <c r="N71" s="2">
        <v>94.891164644432934</v>
      </c>
      <c r="O71">
        <v>102.01895626728221</v>
      </c>
      <c r="P71">
        <v>0.51446976977508418</v>
      </c>
      <c r="Q71">
        <v>0.51446976977508418</v>
      </c>
      <c r="R71">
        <v>0.79443521668643791</v>
      </c>
    </row>
    <row r="72" spans="1:25" outlineLevel="1" x14ac:dyDescent="0.25">
      <c r="A72" s="44">
        <v>14</v>
      </c>
      <c r="B72" s="46">
        <f t="shared" si="1"/>
        <v>22.56324793818056</v>
      </c>
      <c r="C72" s="2">
        <v>22.56324793818056</v>
      </c>
      <c r="D72" s="2">
        <v>19.596545495160843</v>
      </c>
      <c r="E72" s="2">
        <v>19.382685725952314</v>
      </c>
      <c r="F72">
        <v>17.223007730532828</v>
      </c>
      <c r="G72" s="2">
        <v>1.0412722218877222</v>
      </c>
      <c r="H72" s="10">
        <v>1.0409709932609008</v>
      </c>
      <c r="I72">
        <v>1.0470074368150508</v>
      </c>
      <c r="J72" s="2">
        <v>928.23660263983743</v>
      </c>
      <c r="K72" s="2">
        <v>928.27931872455883</v>
      </c>
      <c r="L72">
        <v>920.65937623347361</v>
      </c>
      <c r="M72" s="2">
        <v>91.896495968681009</v>
      </c>
      <c r="N72" s="2">
        <v>92.55897536852558</v>
      </c>
      <c r="O72">
        <v>99.664918572834125</v>
      </c>
      <c r="P72">
        <v>0.46175306138714567</v>
      </c>
      <c r="Q72">
        <v>0.46175306138714567</v>
      </c>
      <c r="R72">
        <v>0.78076804883789996</v>
      </c>
    </row>
    <row r="73" spans="1:25" outlineLevel="1" x14ac:dyDescent="0.25">
      <c r="A73" s="44">
        <v>15</v>
      </c>
      <c r="B73" s="46">
        <f t="shared" si="1"/>
        <v>24.221959318040604</v>
      </c>
      <c r="C73" s="2">
        <v>24.221959318040604</v>
      </c>
      <c r="D73" s="2">
        <v>20.320544672736261</v>
      </c>
      <c r="E73" s="2">
        <v>20.090526320187848</v>
      </c>
      <c r="F73">
        <v>17.863815040339368</v>
      </c>
      <c r="G73" s="2">
        <v>1.0424532284210637</v>
      </c>
      <c r="H73" s="10">
        <v>1.0421164573849941</v>
      </c>
      <c r="I73">
        <v>1.0483310431997541</v>
      </c>
      <c r="J73" s="2">
        <v>927.94863319593287</v>
      </c>
      <c r="K73" s="2">
        <v>928.00581888091153</v>
      </c>
      <c r="L73">
        <v>920.16906950211978</v>
      </c>
      <c r="M73" s="2">
        <v>89.705154343779014</v>
      </c>
      <c r="N73" s="2">
        <v>90.39288446699338</v>
      </c>
      <c r="O73">
        <v>97.474429018486774</v>
      </c>
      <c r="P73">
        <v>0.40650247920415289</v>
      </c>
      <c r="Q73">
        <v>0.40650247920415289</v>
      </c>
      <c r="R73">
        <v>0.7672564846620693</v>
      </c>
    </row>
    <row r="74" spans="1:25" outlineLevel="1" x14ac:dyDescent="0.25">
      <c r="A74" s="44">
        <v>16</v>
      </c>
      <c r="B74" s="46">
        <f t="shared" si="1"/>
        <v>25.880670697900648</v>
      </c>
      <c r="C74" s="2">
        <v>25.880670697900648</v>
      </c>
      <c r="D74" s="2">
        <v>21.019685241221147</v>
      </c>
      <c r="E74" s="2">
        <v>20.773902742619512</v>
      </c>
      <c r="F74">
        <v>18.482297703210264</v>
      </c>
      <c r="G74" s="2">
        <v>1.0435913048532404</v>
      </c>
      <c r="H74" s="10">
        <v>1.0432193562573497</v>
      </c>
      <c r="I74">
        <v>1.0496062440831888</v>
      </c>
      <c r="J74" s="2">
        <v>927.67328551997161</v>
      </c>
      <c r="K74" s="2">
        <v>927.74498812485365</v>
      </c>
      <c r="L74">
        <v>919.69902640661314</v>
      </c>
      <c r="M74" s="2">
        <v>87.66175492899832</v>
      </c>
      <c r="N74" s="2">
        <v>88.372175110623473</v>
      </c>
      <c r="O74">
        <v>95.427230643651257</v>
      </c>
      <c r="P74">
        <v>0.34873182155349686</v>
      </c>
      <c r="Q74">
        <v>0.34873182155349686</v>
      </c>
      <c r="R74">
        <v>0.75390661446784413</v>
      </c>
    </row>
    <row r="75" spans="1:25" outlineLevel="1" x14ac:dyDescent="0.25">
      <c r="A75" s="44">
        <v>17</v>
      </c>
      <c r="B75" s="46">
        <f t="shared" si="1"/>
        <v>27.539382077760692</v>
      </c>
      <c r="C75" s="2">
        <v>27.539382077760692</v>
      </c>
      <c r="D75" s="2">
        <v>21.696416652160845</v>
      </c>
      <c r="E75" s="2">
        <v>21.435219537112104</v>
      </c>
      <c r="F75">
        <v>19.080675533133</v>
      </c>
      <c r="G75" s="2">
        <v>1.0446906638009921</v>
      </c>
      <c r="H75" s="10">
        <v>1.044283855212643</v>
      </c>
      <c r="I75">
        <v>1.0508378360494401</v>
      </c>
      <c r="J75" s="2">
        <v>927.40932275251214</v>
      </c>
      <c r="K75" s="2">
        <v>927.4955866673007</v>
      </c>
      <c r="L75">
        <v>919.24723494967304</v>
      </c>
      <c r="M75" s="2">
        <v>85.748869396187558</v>
      </c>
      <c r="N75" s="2">
        <v>86.479784131982115</v>
      </c>
      <c r="O75">
        <v>93.506641545046051</v>
      </c>
      <c r="P75">
        <v>0.28846483524202443</v>
      </c>
      <c r="Q75">
        <v>0.28846483524202443</v>
      </c>
      <c r="R75">
        <v>0.74072354560576559</v>
      </c>
    </row>
    <row r="76" spans="1:25" outlineLevel="1" x14ac:dyDescent="0.25">
      <c r="A76" s="44">
        <v>18</v>
      </c>
      <c r="B76" s="46">
        <f t="shared" si="1"/>
        <v>29.198093457620736</v>
      </c>
      <c r="C76" s="2">
        <v>29.198093457620736</v>
      </c>
      <c r="D76" s="2">
        <v>22.352811763560851</v>
      </c>
      <c r="E76" s="2">
        <v>22.07651254834018</v>
      </c>
      <c r="F76">
        <v>19.660824193461302</v>
      </c>
      <c r="G76" s="2">
        <v>1.0457548710882316</v>
      </c>
      <c r="H76" s="10">
        <v>1.0453134819603935</v>
      </c>
      <c r="I76">
        <v>1.0520298728254196</v>
      </c>
      <c r="J76" s="2">
        <v>927.15569769178114</v>
      </c>
      <c r="K76" s="2">
        <v>927.25656424567364</v>
      </c>
      <c r="L76">
        <v>918.81199478623842</v>
      </c>
      <c r="M76" s="2">
        <v>83.951974868823811</v>
      </c>
      <c r="N76" s="2">
        <v>84.701484199293574</v>
      </c>
      <c r="O76">
        <v>91.698751282722327</v>
      </c>
      <c r="P76">
        <v>0.22573610672121452</v>
      </c>
      <c r="Q76">
        <v>0.22573610672121452</v>
      </c>
      <c r="R76">
        <v>0.72771151809308299</v>
      </c>
    </row>
    <row r="77" spans="1:25" outlineLevel="1" x14ac:dyDescent="0.25">
      <c r="A77" s="44">
        <v>19</v>
      </c>
      <c r="B77" s="46">
        <f t="shared" si="1"/>
        <v>30.85680483748078</v>
      </c>
      <c r="C77" s="2">
        <v>30.85680483748078</v>
      </c>
      <c r="D77" s="2">
        <v>22.990643135263724</v>
      </c>
      <c r="E77" s="2">
        <v>22.699523418414937</v>
      </c>
      <c r="F77">
        <v>20.22434546739828</v>
      </c>
      <c r="G77" s="2">
        <v>1.046786976704996</v>
      </c>
      <c r="H77" s="10">
        <v>1.0463112553271767</v>
      </c>
      <c r="I77">
        <v>1.0531858168901602</v>
      </c>
      <c r="J77" s="2">
        <v>926.91151441403451</v>
      </c>
      <c r="K77" s="2">
        <v>927.0270218788271</v>
      </c>
      <c r="L77">
        <v>918.39185361213833</v>
      </c>
      <c r="M77" s="2">
        <v>82.258837909282562</v>
      </c>
      <c r="N77" s="2">
        <v>83.025284242498913</v>
      </c>
      <c r="O77">
        <v>89.991832998466549</v>
      </c>
      <c r="P77">
        <v>0.16059186852120719</v>
      </c>
      <c r="Q77">
        <v>0.16059186852120719</v>
      </c>
      <c r="R77">
        <v>0.71487400390643085</v>
      </c>
    </row>
    <row r="78" spans="1:25" outlineLevel="1" x14ac:dyDescent="0.25">
      <c r="A78" s="44">
        <v>20</v>
      </c>
      <c r="B78" s="46">
        <f t="shared" si="1"/>
        <v>32.515516217340824</v>
      </c>
      <c r="C78" s="2">
        <v>32.515516217340824</v>
      </c>
      <c r="D78" s="2">
        <v>23.611440545248538</v>
      </c>
      <c r="E78" s="2">
        <v>23.305755794959182</v>
      </c>
      <c r="F78">
        <v>20.772620104206187</v>
      </c>
      <c r="G78" s="2">
        <v>1.0477896135436739</v>
      </c>
      <c r="H78" s="10">
        <v>1.0472797824062807</v>
      </c>
      <c r="I78">
        <v>1.0543086535014428</v>
      </c>
      <c r="J78" s="2">
        <v>926.67599933433155</v>
      </c>
      <c r="K78" s="2">
        <v>926.80618300400636</v>
      </c>
      <c r="L78">
        <v>917.98555932259865</v>
      </c>
      <c r="M78" s="2">
        <v>80.659054590951143</v>
      </c>
      <c r="N78" s="2">
        <v>81.440981400226548</v>
      </c>
      <c r="O78">
        <v>88.375904852496134</v>
      </c>
      <c r="P78">
        <v>9.3090709827697654E-2</v>
      </c>
      <c r="Q78">
        <v>9.3090709827697654E-2</v>
      </c>
      <c r="R78">
        <v>0.7022137929145873</v>
      </c>
    </row>
    <row r="79" spans="1:25" outlineLevel="1" x14ac:dyDescent="0.25">
      <c r="A79" s="44">
        <v>21</v>
      </c>
      <c r="B79" s="47">
        <f>G23</f>
        <v>34.174227597200854</v>
      </c>
      <c r="C79" s="2">
        <v>34.174227597200854</v>
      </c>
      <c r="D79" s="2">
        <v>24.21653508258953</v>
      </c>
      <c r="E79" s="2">
        <v>23.896518453308552</v>
      </c>
      <c r="F79">
        <v>21.306848245355852</v>
      </c>
      <c r="G79" s="2">
        <v>1.0487650730546061</v>
      </c>
      <c r="H79" s="10">
        <v>1.0482213330997243</v>
      </c>
      <c r="I79">
        <v>1.0554009779314164</v>
      </c>
      <c r="J79" s="2">
        <v>926.44847905682491</v>
      </c>
      <c r="K79" s="2">
        <v>926.59337132815483</v>
      </c>
      <c r="L79">
        <v>917.59202341211767</v>
      </c>
      <c r="M79" s="2">
        <v>79.143701236447654</v>
      </c>
      <c r="N79" s="2">
        <v>79.939820507163446</v>
      </c>
      <c r="O79">
        <v>86.842397178933624</v>
      </c>
      <c r="P79">
        <v>2.330417784551855E-2</v>
      </c>
      <c r="Q79">
        <v>2.330417784551855E-2</v>
      </c>
      <c r="R79">
        <v>0.68973306777676247</v>
      </c>
    </row>
    <row r="80" spans="1:25" outlineLevel="1" x14ac:dyDescent="0.25">
      <c r="A80" s="44">
        <v>22</v>
      </c>
      <c r="B80" s="46">
        <f t="shared" ref="B80:B98" si="2">($B$99-$B$79)/($A$99-$A$79)+B79</f>
        <v>47.465516217340813</v>
      </c>
      <c r="C80" s="2">
        <v>47.465516217340813</v>
      </c>
      <c r="D80" s="2">
        <v>27.58</v>
      </c>
      <c r="E80" s="2">
        <v>24.1383734682403</v>
      </c>
      <c r="F80">
        <v>25.185043742715241</v>
      </c>
      <c r="G80" s="2">
        <v>1.054236725573924</v>
      </c>
      <c r="H80" s="10">
        <v>1.0490479486281719</v>
      </c>
      <c r="I80">
        <v>1.063278373936938</v>
      </c>
      <c r="J80" s="2">
        <v>925.14803719158544</v>
      </c>
      <c r="K80" s="2">
        <v>926.11673951606042</v>
      </c>
      <c r="L80">
        <v>914.80437765784654</v>
      </c>
      <c r="M80" s="2">
        <v>73.192967712337051</v>
      </c>
      <c r="N80" s="2">
        <v>86.927586699236457</v>
      </c>
      <c r="O80">
        <v>76.80459305615706</v>
      </c>
      <c r="P80">
        <v>0</v>
      </c>
      <c r="Q80">
        <v>0</v>
      </c>
      <c r="R80">
        <v>0.34136183895570577</v>
      </c>
      <c r="Y80" t="s">
        <v>314</v>
      </c>
    </row>
    <row r="81" spans="1:18" outlineLevel="1" x14ac:dyDescent="0.25">
      <c r="A81" s="44">
        <v>23</v>
      </c>
      <c r="B81" s="46">
        <f t="shared" si="2"/>
        <v>60.756804837480772</v>
      </c>
      <c r="C81" s="2">
        <v>60.756804837480772</v>
      </c>
      <c r="D81" s="2">
        <v>27.58</v>
      </c>
      <c r="E81" s="2">
        <v>24.1383734682403</v>
      </c>
      <c r="F81">
        <v>27.58</v>
      </c>
      <c r="G81" s="2">
        <v>1.0543154795866614</v>
      </c>
      <c r="H81" s="10">
        <v>1.0492695553456539</v>
      </c>
      <c r="I81">
        <v>1.0681902075985246</v>
      </c>
      <c r="J81" s="2">
        <v>925.07893157593662</v>
      </c>
      <c r="K81" s="2">
        <v>925.92114278917199</v>
      </c>
      <c r="L81">
        <v>913.06307665251722</v>
      </c>
      <c r="M81" s="2">
        <v>78.875227241774127</v>
      </c>
      <c r="N81" s="2">
        <v>94.521789894237912</v>
      </c>
      <c r="O81">
        <v>73.101717865817193</v>
      </c>
      <c r="P81">
        <v>0</v>
      </c>
      <c r="Q81">
        <v>0</v>
      </c>
      <c r="R81">
        <v>0.16295321673883853</v>
      </c>
    </row>
    <row r="82" spans="1:18" outlineLevel="1" x14ac:dyDescent="0.25">
      <c r="A82" s="44">
        <v>24</v>
      </c>
      <c r="B82" s="46">
        <f t="shared" si="2"/>
        <v>74.048093457620723</v>
      </c>
      <c r="C82" s="2">
        <v>74.048093457620723</v>
      </c>
      <c r="D82" s="2">
        <v>27.58</v>
      </c>
      <c r="E82" s="2">
        <v>24.1383734682403</v>
      </c>
      <c r="F82">
        <v>27.58</v>
      </c>
      <c r="G82" s="2">
        <v>1.0543659647350831</v>
      </c>
      <c r="H82" s="10">
        <v>1.0494116319324513</v>
      </c>
      <c r="I82">
        <v>1.0682559762080071</v>
      </c>
      <c r="J82" s="2">
        <v>925.03463694890536</v>
      </c>
      <c r="K82" s="2">
        <v>925.79578519677625</v>
      </c>
      <c r="L82">
        <v>913.00686270168649</v>
      </c>
      <c r="M82" s="2">
        <v>84.557486771211202</v>
      </c>
      <c r="N82" s="2">
        <v>102.11599308923937</v>
      </c>
      <c r="O82">
        <v>77.520952131299154</v>
      </c>
      <c r="P82">
        <v>0</v>
      </c>
      <c r="Q82">
        <v>0</v>
      </c>
      <c r="R82">
        <v>6.7484037435745658E-2</v>
      </c>
    </row>
    <row r="83" spans="1:18" outlineLevel="1" x14ac:dyDescent="0.25">
      <c r="A83" s="44">
        <v>25</v>
      </c>
      <c r="B83" s="46">
        <f t="shared" si="2"/>
        <v>87.339382077760675</v>
      </c>
      <c r="C83" s="2">
        <v>87.339382077760675</v>
      </c>
      <c r="D83" s="2">
        <v>27.58</v>
      </c>
      <c r="E83" s="2">
        <v>24.1383734682403</v>
      </c>
      <c r="F83">
        <v>27.58</v>
      </c>
      <c r="G83" s="2">
        <v>1.0544010856709192</v>
      </c>
      <c r="H83" s="10">
        <v>1.0495104774955666</v>
      </c>
      <c r="I83">
        <v>1.0683017298996573</v>
      </c>
      <c r="J83" s="2">
        <v>925.00382506662265</v>
      </c>
      <c r="K83" s="2">
        <v>925.7085913976864</v>
      </c>
      <c r="L83">
        <v>912.96776004622734</v>
      </c>
      <c r="M83" s="2">
        <v>90.239746300648264</v>
      </c>
      <c r="N83" s="2">
        <v>109.71019628424081</v>
      </c>
      <c r="O83">
        <v>81.940186396781115</v>
      </c>
      <c r="P83">
        <v>0</v>
      </c>
      <c r="Q83">
        <v>0</v>
      </c>
      <c r="R83">
        <v>1.340278531692151E-2</v>
      </c>
    </row>
    <row r="84" spans="1:18" outlineLevel="1" x14ac:dyDescent="0.25">
      <c r="A84" s="44">
        <v>26</v>
      </c>
      <c r="B84" s="46">
        <f t="shared" si="2"/>
        <v>100.63067069790063</v>
      </c>
      <c r="C84" s="2">
        <v>100.63067069790063</v>
      </c>
      <c r="D84" s="2">
        <v>27.58</v>
      </c>
      <c r="E84" s="2">
        <v>24.1383734682403</v>
      </c>
      <c r="F84">
        <v>27.58</v>
      </c>
      <c r="G84" s="2">
        <v>1.0544269298147215</v>
      </c>
      <c r="H84" s="10">
        <v>1.0495832179811371</v>
      </c>
      <c r="I84">
        <v>1.0683353985570696</v>
      </c>
      <c r="J84" s="2">
        <v>924.98115310027129</v>
      </c>
      <c r="K84" s="2">
        <v>925.64443593932788</v>
      </c>
      <c r="L84">
        <v>912.93898780973404</v>
      </c>
      <c r="M84" s="2">
        <v>95.92200583008534</v>
      </c>
      <c r="N84" s="2">
        <v>117.30439947924226</v>
      </c>
      <c r="O84">
        <v>86.359420662263091</v>
      </c>
      <c r="P84">
        <v>0</v>
      </c>
      <c r="Q84">
        <v>0</v>
      </c>
      <c r="R84">
        <v>0</v>
      </c>
    </row>
    <row r="85" spans="1:18" outlineLevel="1" x14ac:dyDescent="0.25">
      <c r="A85" s="44">
        <v>27</v>
      </c>
      <c r="B85" s="46">
        <f t="shared" si="2"/>
        <v>113.92195931804058</v>
      </c>
      <c r="C85" s="2">
        <v>113.92195931804058</v>
      </c>
      <c r="D85" s="2">
        <v>27.58</v>
      </c>
      <c r="E85" s="2">
        <v>24.1383734682403</v>
      </c>
      <c r="F85">
        <v>27.58</v>
      </c>
      <c r="G85" s="2">
        <v>1.0544467439088128</v>
      </c>
      <c r="H85" s="10">
        <v>1.0496389885986024</v>
      </c>
      <c r="I85">
        <v>1.0683612116804988</v>
      </c>
      <c r="J85" s="2">
        <v>924.96377179229535</v>
      </c>
      <c r="K85" s="2">
        <v>925.59525354204038</v>
      </c>
      <c r="L85">
        <v>912.91692990785782</v>
      </c>
      <c r="M85" s="2">
        <v>101.6042653595224</v>
      </c>
      <c r="N85" s="2">
        <v>124.8986026742437</v>
      </c>
      <c r="O85">
        <v>90.778654927745052</v>
      </c>
      <c r="P85">
        <v>0</v>
      </c>
      <c r="Q85">
        <v>0</v>
      </c>
      <c r="R85">
        <v>0</v>
      </c>
    </row>
    <row r="86" spans="1:18" outlineLevel="1" x14ac:dyDescent="0.25">
      <c r="A86" s="44">
        <v>28</v>
      </c>
      <c r="B86" s="46">
        <f t="shared" si="2"/>
        <v>127.21324793818053</v>
      </c>
      <c r="C86" s="2">
        <v>127.21324793818053</v>
      </c>
      <c r="D86" s="2">
        <v>27.58</v>
      </c>
      <c r="E86" s="2">
        <v>24.1383734682403</v>
      </c>
      <c r="F86">
        <v>27.58</v>
      </c>
      <c r="G86" s="2">
        <v>1.0544624178984592</v>
      </c>
      <c r="H86" s="10">
        <v>1.0496831074445954</v>
      </c>
      <c r="I86">
        <v>1.0683816313158041</v>
      </c>
      <c r="J86" s="2">
        <v>924.95002272705005</v>
      </c>
      <c r="K86" s="2">
        <v>925.55635018715805</v>
      </c>
      <c r="L86">
        <v>912.89948161950622</v>
      </c>
      <c r="M86" s="2">
        <v>107.28652488895949</v>
      </c>
      <c r="N86" s="2">
        <v>132.49280586924516</v>
      </c>
      <c r="O86">
        <v>95.197889193227027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140.5045365583205</v>
      </c>
      <c r="C87" s="2">
        <v>140.5045365583205</v>
      </c>
      <c r="D87" s="2">
        <v>27.58</v>
      </c>
      <c r="E87" s="2">
        <v>24.1383734682403</v>
      </c>
      <c r="F87">
        <v>27.58</v>
      </c>
      <c r="G87" s="2">
        <v>1.0544751266385914</v>
      </c>
      <c r="H87" s="10">
        <v>1.0497188806429261</v>
      </c>
      <c r="I87">
        <v>1.0683981879706648</v>
      </c>
      <c r="J87" s="2">
        <v>924.93887504876227</v>
      </c>
      <c r="K87" s="2">
        <v>925.52480830342904</v>
      </c>
      <c r="L87">
        <v>912.88533468270884</v>
      </c>
      <c r="M87" s="2">
        <v>112.96878441839655</v>
      </c>
      <c r="N87" s="2">
        <v>140.08700906424662</v>
      </c>
      <c r="O87">
        <v>99.617123458708988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153.79582517846046</v>
      </c>
      <c r="C88" s="2">
        <v>153.79582517846046</v>
      </c>
      <c r="D88" s="2">
        <v>27.58</v>
      </c>
      <c r="E88" s="2">
        <v>24.1383734682403</v>
      </c>
      <c r="F88">
        <v>27.58</v>
      </c>
      <c r="G88" s="2">
        <v>1.054485638873945</v>
      </c>
      <c r="H88" s="10">
        <v>1.0497484716050476</v>
      </c>
      <c r="I88">
        <v>1.0684118831126275</v>
      </c>
      <c r="J88" s="2">
        <v>924.92965427345382</v>
      </c>
      <c r="K88" s="2">
        <v>925.49871903510825</v>
      </c>
      <c r="L88">
        <v>912.87363311475383</v>
      </c>
      <c r="M88" s="2">
        <v>118.65104394783364</v>
      </c>
      <c r="N88" s="2">
        <v>147.68121225924807</v>
      </c>
      <c r="O88">
        <v>104.03635772419096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167.08711379860043</v>
      </c>
      <c r="C89" s="2">
        <v>167.08711379860043</v>
      </c>
      <c r="D89" s="2">
        <v>27.58</v>
      </c>
      <c r="E89" s="2">
        <v>24.1383734682403</v>
      </c>
      <c r="F89">
        <v>27.58</v>
      </c>
      <c r="G89" s="2">
        <v>1.0544944787555872</v>
      </c>
      <c r="H89" s="10">
        <v>1.0497733554647515</v>
      </c>
      <c r="I89">
        <v>1.0684233995739167</v>
      </c>
      <c r="J89" s="2">
        <v>924.92190054042248</v>
      </c>
      <c r="K89" s="2">
        <v>925.47678098518463</v>
      </c>
      <c r="L89">
        <v>912.8637933135459</v>
      </c>
      <c r="M89" s="2">
        <v>124.33330347727069</v>
      </c>
      <c r="N89" s="2">
        <v>155.2754154542495</v>
      </c>
      <c r="O89">
        <v>108.45559198967294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180.37840241874039</v>
      </c>
      <c r="C90" s="2">
        <v>180.37840241874039</v>
      </c>
      <c r="D90" s="2">
        <v>27.58</v>
      </c>
      <c r="E90" s="2">
        <v>24.1383734682403</v>
      </c>
      <c r="F90">
        <v>27.58</v>
      </c>
      <c r="G90" s="2">
        <v>1.0545020159520073</v>
      </c>
      <c r="H90" s="10">
        <v>1.0497945726266678</v>
      </c>
      <c r="I90">
        <v>1.0684332189388088</v>
      </c>
      <c r="J90" s="2">
        <v>924.91528953548163</v>
      </c>
      <c r="K90" s="2">
        <v>925.45807638218525</v>
      </c>
      <c r="L90">
        <v>912.85540369917931</v>
      </c>
      <c r="M90" s="2">
        <v>130.01556300670779</v>
      </c>
      <c r="N90" s="2">
        <v>162.86961864925098</v>
      </c>
      <c r="O90">
        <v>112.87482625515491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193.66969103888036</v>
      </c>
      <c r="C91" s="2">
        <v>193.66969103888036</v>
      </c>
      <c r="D91" s="2">
        <v>27.58</v>
      </c>
      <c r="E91" s="2">
        <v>24.1383734682403</v>
      </c>
      <c r="F91">
        <v>27.58</v>
      </c>
      <c r="G91" s="2">
        <v>1.0545085186565504</v>
      </c>
      <c r="H91" s="10">
        <v>1.0498128779229798</v>
      </c>
      <c r="I91">
        <v>1.0684416905967862</v>
      </c>
      <c r="J91" s="2">
        <v>924.90958597714257</v>
      </c>
      <c r="K91" s="2">
        <v>925.44193942609638</v>
      </c>
      <c r="L91">
        <v>912.84816568251358</v>
      </c>
      <c r="M91" s="2">
        <v>135.69782253614486</v>
      </c>
      <c r="N91" s="2">
        <v>170.46382184425244</v>
      </c>
      <c r="O91">
        <v>117.29406052063689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206.96097965902032</v>
      </c>
      <c r="C92" s="2">
        <v>206.96097965902032</v>
      </c>
      <c r="D92" s="2">
        <v>27.58</v>
      </c>
      <c r="E92" s="2">
        <v>24.1383734682403</v>
      </c>
      <c r="F92">
        <v>27.58</v>
      </c>
      <c r="G92" s="2">
        <v>1.0545141861704332</v>
      </c>
      <c r="H92" s="10">
        <v>1.049828832302339</v>
      </c>
      <c r="I92">
        <v>1.0684490741889621</v>
      </c>
      <c r="J92" s="2">
        <v>924.90461502654978</v>
      </c>
      <c r="K92" s="2">
        <v>925.42787536982144</v>
      </c>
      <c r="L92">
        <v>912.84185738131634</v>
      </c>
      <c r="M92" s="2">
        <v>141.38008206558192</v>
      </c>
      <c r="N92" s="2">
        <v>178.05802503925389</v>
      </c>
      <c r="O92">
        <v>121.71329478611885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220.25226827916029</v>
      </c>
      <c r="C93" s="2">
        <v>220.25226827916029</v>
      </c>
      <c r="D93" s="2">
        <v>27.58</v>
      </c>
      <c r="E93" s="2">
        <v>24.1383734682403</v>
      </c>
      <c r="F93">
        <v>27.58</v>
      </c>
      <c r="G93" s="2">
        <v>1.0545191696887166</v>
      </c>
      <c r="H93" s="10">
        <v>1.0498428613240132</v>
      </c>
      <c r="I93">
        <v>1.0684555666864619</v>
      </c>
      <c r="J93" s="2">
        <v>924.90024404952828</v>
      </c>
      <c r="K93" s="2">
        <v>925.41550890222936</v>
      </c>
      <c r="L93">
        <v>912.83631047448966</v>
      </c>
      <c r="M93" s="2">
        <v>147.06234159501901</v>
      </c>
      <c r="N93" s="2">
        <v>185.65222823425535</v>
      </c>
      <c r="O93">
        <v>126.13252905160083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233.54355689930026</v>
      </c>
      <c r="C94" s="2">
        <v>233.54355689930026</v>
      </c>
      <c r="D94" s="2">
        <v>27.58</v>
      </c>
      <c r="E94" s="2">
        <v>24.1383734682403</v>
      </c>
      <c r="F94">
        <v>27.58</v>
      </c>
      <c r="G94" s="2">
        <v>1.0545235859887709</v>
      </c>
      <c r="H94" s="10">
        <v>1.0498552936800973</v>
      </c>
      <c r="I94">
        <v>1.0684613202228093</v>
      </c>
      <c r="J94" s="2">
        <v>924.89637060653251</v>
      </c>
      <c r="K94" s="2">
        <v>925.40455015848454</v>
      </c>
      <c r="L94">
        <v>912.83139496019623</v>
      </c>
      <c r="M94" s="2">
        <v>152.7446011244561</v>
      </c>
      <c r="N94" s="2">
        <v>193.2464314292568</v>
      </c>
      <c r="O94">
        <v>130.55176331708282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246.83484551944022</v>
      </c>
      <c r="C95" s="2">
        <v>246.83484551944022</v>
      </c>
      <c r="D95" s="2">
        <v>27.58</v>
      </c>
      <c r="E95" s="2">
        <v>24.1383734682403</v>
      </c>
      <c r="F95">
        <v>27.58</v>
      </c>
      <c r="G95" s="2">
        <v>1.0545275266963989</v>
      </c>
      <c r="H95" s="10">
        <v>1.0498663872730722</v>
      </c>
      <c r="I95">
        <v>1.0684664541652433</v>
      </c>
      <c r="J95" s="2">
        <v>924.89291432294533</v>
      </c>
      <c r="K95" s="2">
        <v>925.39477171282613</v>
      </c>
      <c r="L95">
        <v>912.82700883855864</v>
      </c>
      <c r="M95" s="2">
        <v>158.42686065389313</v>
      </c>
      <c r="N95" s="2">
        <v>200.84063462425826</v>
      </c>
      <c r="O95">
        <v>134.97099758256476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260.12613413958019</v>
      </c>
      <c r="C96" s="2">
        <v>260.12613413958019</v>
      </c>
      <c r="D96" s="2">
        <v>27.58</v>
      </c>
      <c r="E96" s="2">
        <v>24.1383734682403</v>
      </c>
      <c r="F96">
        <v>27.58</v>
      </c>
      <c r="G96" s="2">
        <v>1.0545310647113033</v>
      </c>
      <c r="H96" s="10">
        <v>1.0498763472993831</v>
      </c>
      <c r="I96">
        <v>1.0684710634854402</v>
      </c>
      <c r="J96" s="2">
        <v>924.88981125180283</v>
      </c>
      <c r="K96" s="2">
        <v>925.38599262536707</v>
      </c>
      <c r="L96">
        <v>912.82307095749479</v>
      </c>
      <c r="M96" s="2">
        <v>164.10912018333022</v>
      </c>
      <c r="N96" s="2">
        <v>208.43483781925971</v>
      </c>
      <c r="O96">
        <v>139.39023184804677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273.41742275972013</v>
      </c>
      <c r="C97" s="2">
        <v>273.41742275972013</v>
      </c>
      <c r="D97" s="2">
        <v>27.58</v>
      </c>
      <c r="E97" s="2">
        <v>24.1383734682403</v>
      </c>
      <c r="F97">
        <v>27.58</v>
      </c>
      <c r="G97" s="2">
        <v>1.0545342587584898</v>
      </c>
      <c r="H97" s="10">
        <v>1.0498853390590179</v>
      </c>
      <c r="I97">
        <v>1.0684752246888367</v>
      </c>
      <c r="J97" s="2">
        <v>924.88700988079472</v>
      </c>
      <c r="K97" s="2">
        <v>925.37806714235899</v>
      </c>
      <c r="L97">
        <v>912.81951594529096</v>
      </c>
      <c r="M97" s="2">
        <v>169.79137971276731</v>
      </c>
      <c r="N97" s="2">
        <v>216.02904101426111</v>
      </c>
      <c r="O97">
        <v>143.80946611352871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286.70871137986006</v>
      </c>
      <c r="C98" s="2">
        <v>286.70871137986006</v>
      </c>
      <c r="D98" s="2">
        <v>27.58</v>
      </c>
      <c r="E98" s="2">
        <v>24.1383734682403</v>
      </c>
      <c r="F98">
        <v>27.58</v>
      </c>
      <c r="G98" s="2">
        <v>1.0545371566737394</v>
      </c>
      <c r="H98" s="10">
        <v>1.0498934972024017</v>
      </c>
      <c r="I98">
        <v>1.0684790000947806</v>
      </c>
      <c r="J98" s="2">
        <v>924.88446824994458</v>
      </c>
      <c r="K98" s="2">
        <v>925.37087653971594</v>
      </c>
      <c r="L98">
        <v>912.81629055272276</v>
      </c>
      <c r="M98" s="2">
        <v>175.47363924220437</v>
      </c>
      <c r="N98" s="2">
        <v>223.62324420926257</v>
      </c>
      <c r="O98">
        <v>148.22870037901066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27.58</v>
      </c>
      <c r="E99" s="2">
        <v>24.1383734682403</v>
      </c>
      <c r="F99">
        <v>27.58</v>
      </c>
      <c r="G99" s="2">
        <v>1.0545397978157385</v>
      </c>
      <c r="H99" s="10">
        <v>1.0499009325194124</v>
      </c>
      <c r="I99">
        <v>1.0684824409789433</v>
      </c>
      <c r="J99" s="2">
        <v>924.88215183550631</v>
      </c>
      <c r="K99" s="2">
        <v>925.36432313490741</v>
      </c>
      <c r="L99">
        <v>912.81335096757175</v>
      </c>
      <c r="M99" s="2">
        <v>181.15589877164143</v>
      </c>
      <c r="N99" s="2">
        <v>231.21744740426402</v>
      </c>
      <c r="O99">
        <v>152.64793464449264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176"/>
  <sheetViews>
    <sheetView topLeftCell="A79" zoomScaleNormal="100" workbookViewId="0">
      <selection activeCell="H97" sqref="H97"/>
    </sheetView>
  </sheetViews>
  <sheetFormatPr defaultRowHeight="15" x14ac:dyDescent="0.25"/>
  <sheetData>
    <row r="1" spans="1:20" x14ac:dyDescent="0.25">
      <c r="A1" t="str">
        <f>версия_</f>
        <v>вер 7.5</v>
      </c>
    </row>
    <row r="5" spans="1:20" ht="18" x14ac:dyDescent="0.35">
      <c r="G5" s="14" t="s">
        <v>46</v>
      </c>
      <c r="H5" s="9">
        <v>140</v>
      </c>
      <c r="I5" s="5" t="s">
        <v>41</v>
      </c>
    </row>
    <row r="6" spans="1:20" x14ac:dyDescent="0.25">
      <c r="A6" s="11"/>
      <c r="B6" t="s">
        <v>37</v>
      </c>
      <c r="G6" s="1"/>
    </row>
    <row r="7" spans="1:20" x14ac:dyDescent="0.25">
      <c r="A7" s="11"/>
      <c r="G7" s="1"/>
    </row>
    <row r="8" spans="1:20" x14ac:dyDescent="0.25">
      <c r="A8" s="11"/>
      <c r="B8" s="17" t="s">
        <v>49</v>
      </c>
      <c r="C8" s="2"/>
      <c r="D8" s="2"/>
      <c r="G8" s="1"/>
    </row>
    <row r="9" spans="1:20" ht="18" x14ac:dyDescent="0.35">
      <c r="A9" s="11"/>
      <c r="B9" s="14" t="s">
        <v>39</v>
      </c>
      <c r="C9" s="9">
        <v>1257</v>
      </c>
      <c r="D9" s="5" t="s">
        <v>38</v>
      </c>
      <c r="G9" s="1"/>
      <c r="T9" s="16" t="s">
        <v>187</v>
      </c>
    </row>
    <row r="10" spans="1:20" ht="18" x14ac:dyDescent="0.35">
      <c r="A10" s="11"/>
      <c r="B10" s="14" t="s">
        <v>40</v>
      </c>
      <c r="C10" s="9">
        <v>830</v>
      </c>
      <c r="D10" s="5" t="s">
        <v>25</v>
      </c>
      <c r="G10" s="1"/>
      <c r="T10" s="16" t="s">
        <v>188</v>
      </c>
    </row>
    <row r="11" spans="1:20" x14ac:dyDescent="0.25">
      <c r="A11" s="11"/>
      <c r="G11" s="1"/>
    </row>
    <row r="12" spans="1:20" ht="18" x14ac:dyDescent="0.35">
      <c r="A12" s="11"/>
      <c r="B12" s="14" t="s">
        <v>47</v>
      </c>
      <c r="C12" s="9">
        <v>75</v>
      </c>
      <c r="D12" s="5" t="s">
        <v>41</v>
      </c>
      <c r="G12" s="1"/>
    </row>
    <row r="13" spans="1:20" ht="18" x14ac:dyDescent="0.35">
      <c r="A13" s="11"/>
      <c r="B13" s="14" t="s">
        <v>45</v>
      </c>
      <c r="C13" s="9">
        <v>8</v>
      </c>
      <c r="D13" s="5" t="s">
        <v>41</v>
      </c>
      <c r="G13" s="1"/>
    </row>
    <row r="14" spans="1:20" x14ac:dyDescent="0.25">
      <c r="A14" s="11"/>
      <c r="G14" s="1"/>
    </row>
    <row r="15" spans="1:20" x14ac:dyDescent="0.25">
      <c r="A15" s="11"/>
      <c r="G15" s="1"/>
    </row>
    <row r="16" spans="1:20" x14ac:dyDescent="0.25">
      <c r="A16" s="11"/>
      <c r="B16" s="2" t="s">
        <v>42</v>
      </c>
      <c r="C16" s="2"/>
      <c r="E16" t="s">
        <v>65</v>
      </c>
      <c r="G16" s="1"/>
      <c r="H16" t="s">
        <v>59</v>
      </c>
      <c r="I16" s="1"/>
      <c r="J16" t="s">
        <v>63</v>
      </c>
      <c r="P16" t="s">
        <v>125</v>
      </c>
    </row>
    <row r="17" spans="1:24" ht="18" x14ac:dyDescent="0.35">
      <c r="A17" s="11"/>
      <c r="B17" s="5" t="s">
        <v>62</v>
      </c>
      <c r="C17" s="5" t="s">
        <v>61</v>
      </c>
      <c r="E17" s="5" t="s">
        <v>61</v>
      </c>
      <c r="F17" s="5" t="s">
        <v>11</v>
      </c>
      <c r="G17" s="1"/>
      <c r="H17" s="5" t="s">
        <v>62</v>
      </c>
      <c r="I17" s="14" t="s">
        <v>60</v>
      </c>
      <c r="J17" s="5" t="s">
        <v>62</v>
      </c>
      <c r="K17" s="14" t="s">
        <v>64</v>
      </c>
      <c r="P17" t="s">
        <v>126</v>
      </c>
      <c r="R17" t="s">
        <v>129</v>
      </c>
      <c r="S17" t="s">
        <v>128</v>
      </c>
      <c r="T17" t="s">
        <v>127</v>
      </c>
      <c r="U17" t="s">
        <v>126</v>
      </c>
      <c r="V17" t="s">
        <v>130</v>
      </c>
      <c r="W17" t="s">
        <v>126</v>
      </c>
      <c r="X17" t="s">
        <v>131</v>
      </c>
    </row>
    <row r="18" spans="1:24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159</v>
      </c>
      <c r="W18">
        <v>0</v>
      </c>
      <c r="X18">
        <v>89</v>
      </c>
    </row>
    <row r="19" spans="1:24" x14ac:dyDescent="0.25">
      <c r="A19" s="11"/>
      <c r="B19" s="9">
        <v>0</v>
      </c>
      <c r="C19" s="9" t="s">
        <v>194</v>
      </c>
      <c r="E19" s="16">
        <v>0</v>
      </c>
      <c r="F19" s="16">
        <v>0</v>
      </c>
      <c r="G19" s="1"/>
      <c r="H19" s="16">
        <v>0</v>
      </c>
      <c r="I19" s="48">
        <v>159</v>
      </c>
      <c r="J19" s="16">
        <v>0</v>
      </c>
      <c r="K19" s="48">
        <v>89</v>
      </c>
      <c r="P19">
        <v>110.25</v>
      </c>
      <c r="Q19">
        <v>110.25</v>
      </c>
      <c r="R19">
        <v>0</v>
      </c>
      <c r="S19">
        <v>41.908499999999997</v>
      </c>
      <c r="T19">
        <v>0.79999999999999993</v>
      </c>
      <c r="U19">
        <v>116.05263157894737</v>
      </c>
      <c r="V19">
        <v>159</v>
      </c>
      <c r="W19">
        <v>43.684210526315788</v>
      </c>
      <c r="X19">
        <v>89</v>
      </c>
    </row>
    <row r="20" spans="1:24" x14ac:dyDescent="0.25">
      <c r="A20" s="11"/>
      <c r="B20" s="9">
        <v>52.44</v>
      </c>
      <c r="C20" s="9">
        <v>52.44</v>
      </c>
      <c r="E20" s="16">
        <v>838.17</v>
      </c>
      <c r="F20" s="16">
        <v>16</v>
      </c>
      <c r="G20" s="1"/>
      <c r="H20" s="16">
        <v>2205</v>
      </c>
      <c r="I20" s="48">
        <v>159</v>
      </c>
      <c r="J20" s="16">
        <v>830</v>
      </c>
      <c r="K20" s="48">
        <v>89</v>
      </c>
      <c r="P20">
        <v>220.5</v>
      </c>
      <c r="Q20">
        <v>220.49213692946057</v>
      </c>
      <c r="R20">
        <v>7.86307053943428E-3</v>
      </c>
      <c r="S20">
        <v>83.816999999999993</v>
      </c>
      <c r="T20">
        <v>1.5999999999999999</v>
      </c>
      <c r="U20">
        <v>232.10526315789474</v>
      </c>
      <c r="V20">
        <v>159</v>
      </c>
      <c r="W20">
        <v>87.368421052631575</v>
      </c>
      <c r="X20">
        <v>89</v>
      </c>
    </row>
    <row r="21" spans="1:24" x14ac:dyDescent="0.25">
      <c r="A21" s="11"/>
      <c r="B21" s="57">
        <v>79.349999999999994</v>
      </c>
      <c r="C21" s="9">
        <v>79.349999999999994</v>
      </c>
      <c r="E21" s="16"/>
      <c r="F21" s="16"/>
      <c r="G21" s="1"/>
      <c r="H21" s="16"/>
      <c r="I21" s="48"/>
      <c r="J21" s="16"/>
      <c r="K21" s="48"/>
      <c r="P21">
        <v>330.75</v>
      </c>
      <c r="Q21">
        <v>330.73833133732535</v>
      </c>
      <c r="R21">
        <v>1.1668662674640088E-2</v>
      </c>
      <c r="S21">
        <v>125.72549999999998</v>
      </c>
      <c r="T21">
        <v>2.4</v>
      </c>
      <c r="U21">
        <v>348.15789473684208</v>
      </c>
      <c r="V21">
        <v>159</v>
      </c>
      <c r="W21">
        <v>131.05263157894737</v>
      </c>
      <c r="X21">
        <v>89</v>
      </c>
    </row>
    <row r="22" spans="1:24" x14ac:dyDescent="0.25">
      <c r="A22" s="11"/>
      <c r="B22" s="9">
        <v>103.08</v>
      </c>
      <c r="C22" s="9">
        <v>103.08</v>
      </c>
      <c r="E22" s="16"/>
      <c r="F22" s="16"/>
      <c r="G22" s="1"/>
      <c r="H22" s="16"/>
      <c r="I22" s="16"/>
      <c r="J22" s="16"/>
      <c r="K22" s="16"/>
      <c r="P22">
        <v>441</v>
      </c>
      <c r="Q22">
        <v>440.91987789987792</v>
      </c>
      <c r="R22">
        <v>8.0122100122084122E-2</v>
      </c>
      <c r="S22">
        <v>167.63399999999999</v>
      </c>
      <c r="T22">
        <v>3.1999999999999997</v>
      </c>
      <c r="U22">
        <v>464.21052631578948</v>
      </c>
      <c r="V22">
        <v>159</v>
      </c>
      <c r="W22">
        <v>174.73684210526315</v>
      </c>
      <c r="X22">
        <v>89</v>
      </c>
    </row>
    <row r="23" spans="1:24" x14ac:dyDescent="0.25">
      <c r="A23" s="11"/>
      <c r="B23" s="9">
        <v>127.67</v>
      </c>
      <c r="C23" s="9">
        <v>127.67</v>
      </c>
      <c r="E23" s="16"/>
      <c r="F23" s="16"/>
      <c r="G23" s="1"/>
      <c r="H23" s="16"/>
      <c r="I23" s="16"/>
      <c r="J23" s="16"/>
      <c r="K23" s="16"/>
      <c r="P23">
        <v>551.25</v>
      </c>
      <c r="Q23">
        <v>548.23389830508472</v>
      </c>
      <c r="R23">
        <v>3.016101694915275</v>
      </c>
      <c r="S23">
        <v>209.54249999999999</v>
      </c>
      <c r="T23">
        <v>4</v>
      </c>
      <c r="U23">
        <v>580.26315789473688</v>
      </c>
      <c r="V23">
        <v>159</v>
      </c>
      <c r="W23">
        <v>218.42105263157893</v>
      </c>
      <c r="X23">
        <v>89</v>
      </c>
    </row>
    <row r="24" spans="1:24" x14ac:dyDescent="0.25">
      <c r="A24" s="11"/>
      <c r="B24" s="9">
        <v>151.07</v>
      </c>
      <c r="C24" s="9">
        <v>151.07</v>
      </c>
      <c r="E24" s="16"/>
      <c r="F24" s="16"/>
      <c r="G24" s="1"/>
      <c r="H24" s="16"/>
      <c r="I24" s="16"/>
      <c r="J24" s="16"/>
      <c r="K24" s="16"/>
      <c r="P24">
        <v>661.5</v>
      </c>
      <c r="Q24">
        <v>646.44882002383792</v>
      </c>
      <c r="R24">
        <v>15.051179976162073</v>
      </c>
      <c r="S24">
        <v>251.45099999999996</v>
      </c>
      <c r="T24">
        <v>4.8</v>
      </c>
      <c r="U24">
        <v>696.31578947368416</v>
      </c>
      <c r="V24">
        <v>159</v>
      </c>
      <c r="W24">
        <v>262.10526315789474</v>
      </c>
      <c r="X24">
        <v>89</v>
      </c>
    </row>
    <row r="25" spans="1:24" x14ac:dyDescent="0.25">
      <c r="A25" s="11"/>
      <c r="B25" s="9">
        <v>176.87</v>
      </c>
      <c r="C25" s="9">
        <v>176.87</v>
      </c>
      <c r="E25" s="16"/>
      <c r="F25" s="16"/>
      <c r="G25" s="1"/>
      <c r="H25" s="16"/>
      <c r="I25" s="16"/>
      <c r="J25" s="16"/>
      <c r="K25" s="16"/>
      <c r="M25" s="15"/>
      <c r="N25" s="15"/>
      <c r="P25">
        <v>771.75</v>
      </c>
      <c r="Q25">
        <v>725.30653942953029</v>
      </c>
      <c r="R25">
        <v>46.44346057046976</v>
      </c>
      <c r="S25">
        <v>293.35949999999997</v>
      </c>
      <c r="T25">
        <v>5.6</v>
      </c>
      <c r="U25">
        <v>812.36842105263156</v>
      </c>
      <c r="V25">
        <v>159</v>
      </c>
      <c r="W25">
        <v>305.78947368421052</v>
      </c>
      <c r="X25">
        <v>89</v>
      </c>
    </row>
    <row r="26" spans="1:24" x14ac:dyDescent="0.25">
      <c r="A26" s="11"/>
      <c r="B26" s="9">
        <v>201.55</v>
      </c>
      <c r="C26" s="9">
        <v>201.55</v>
      </c>
      <c r="E26" s="16"/>
      <c r="F26" s="16"/>
      <c r="G26" s="1"/>
      <c r="H26" s="16"/>
      <c r="I26" s="16"/>
      <c r="J26" s="16"/>
      <c r="K26" s="16"/>
      <c r="M26" s="15"/>
      <c r="N26" s="15"/>
      <c r="P26">
        <v>882</v>
      </c>
      <c r="Q26">
        <v>784.55470171047136</v>
      </c>
      <c r="R26">
        <v>97.445298289528594</v>
      </c>
      <c r="S26">
        <v>335.26799999999997</v>
      </c>
      <c r="T26">
        <v>6.3999999999999995</v>
      </c>
      <c r="U26">
        <v>928.42105263157896</v>
      </c>
      <c r="V26">
        <v>159</v>
      </c>
      <c r="W26">
        <v>349.4736842105263</v>
      </c>
      <c r="X26">
        <v>89</v>
      </c>
    </row>
    <row r="27" spans="1:24" x14ac:dyDescent="0.25">
      <c r="A27" s="11"/>
      <c r="B27" s="9">
        <v>225.65</v>
      </c>
      <c r="C27" s="9">
        <v>225.64</v>
      </c>
      <c r="E27" s="16"/>
      <c r="F27" s="16"/>
      <c r="G27" s="1"/>
      <c r="H27" s="16"/>
      <c r="I27" s="16"/>
      <c r="J27" s="16"/>
      <c r="K27" s="16"/>
      <c r="M27" s="15"/>
      <c r="N27" s="15"/>
      <c r="P27">
        <v>992.25</v>
      </c>
      <c r="Q27">
        <v>817.05015391192819</v>
      </c>
      <c r="R27">
        <v>175.19984608807187</v>
      </c>
      <c r="S27">
        <v>377.17649999999998</v>
      </c>
      <c r="T27">
        <v>7.2</v>
      </c>
      <c r="U27">
        <v>1044.4736842105262</v>
      </c>
      <c r="V27">
        <v>159</v>
      </c>
      <c r="W27">
        <v>393.15789473684208</v>
      </c>
      <c r="X27">
        <v>89</v>
      </c>
    </row>
    <row r="28" spans="1:24" x14ac:dyDescent="0.25">
      <c r="A28" s="11"/>
      <c r="B28" s="9">
        <v>250.96</v>
      </c>
      <c r="C28" s="9">
        <v>250.95</v>
      </c>
      <c r="E28" s="16"/>
      <c r="F28" s="16"/>
      <c r="G28" s="1"/>
      <c r="H28" s="16"/>
      <c r="I28" s="16"/>
      <c r="J28" s="16"/>
      <c r="K28" s="16"/>
      <c r="M28" s="15"/>
      <c r="N28" s="15"/>
      <c r="P28">
        <v>1102.5</v>
      </c>
      <c r="Q28">
        <v>827.49654303708894</v>
      </c>
      <c r="R28">
        <v>275.00345696291112</v>
      </c>
      <c r="S28">
        <v>419.08499999999998</v>
      </c>
      <c r="T28">
        <v>8</v>
      </c>
      <c r="U28">
        <v>1160.5263157894738</v>
      </c>
      <c r="V28">
        <v>159</v>
      </c>
      <c r="W28">
        <v>436.84210526315786</v>
      </c>
      <c r="X28">
        <v>89</v>
      </c>
    </row>
    <row r="29" spans="1:24" x14ac:dyDescent="0.25">
      <c r="A29" s="11"/>
      <c r="B29" s="9">
        <v>274.16000000000003</v>
      </c>
      <c r="C29" s="9">
        <v>274.14999999999998</v>
      </c>
      <c r="E29" s="16"/>
      <c r="F29" s="16"/>
      <c r="G29" s="1"/>
      <c r="H29" s="16"/>
      <c r="I29" s="16"/>
      <c r="J29" s="16"/>
      <c r="K29" s="16"/>
      <c r="M29" s="15"/>
      <c r="N29" s="15"/>
      <c r="P29">
        <v>1212.75</v>
      </c>
      <c r="Q29">
        <v>837.63314265536724</v>
      </c>
      <c r="R29">
        <v>375.11685734463276</v>
      </c>
      <c r="S29">
        <v>460.99349999999998</v>
      </c>
      <c r="T29">
        <v>8.8000000000000007</v>
      </c>
      <c r="U29">
        <v>1276.578947368421</v>
      </c>
      <c r="V29">
        <v>159</v>
      </c>
      <c r="W29">
        <v>480.52631578947364</v>
      </c>
      <c r="X29">
        <v>89</v>
      </c>
    </row>
    <row r="30" spans="1:24" x14ac:dyDescent="0.25">
      <c r="A30" s="11"/>
      <c r="B30" s="9">
        <v>300.98</v>
      </c>
      <c r="C30" s="9">
        <v>300.97000000000003</v>
      </c>
      <c r="E30" s="16"/>
      <c r="F30" s="16"/>
      <c r="G30" s="1"/>
      <c r="H30" s="16"/>
      <c r="I30" s="16"/>
      <c r="J30" s="16"/>
      <c r="K30" s="16"/>
      <c r="M30" s="15"/>
      <c r="N30" s="15"/>
      <c r="P30">
        <v>1323</v>
      </c>
      <c r="Q30">
        <v>838.21950000000004</v>
      </c>
      <c r="R30">
        <v>484.78049999999996</v>
      </c>
      <c r="S30">
        <v>502.90199999999993</v>
      </c>
      <c r="T30">
        <v>9.6</v>
      </c>
      <c r="U30">
        <v>1392.6315789473683</v>
      </c>
      <c r="V30">
        <v>159</v>
      </c>
      <c r="W30">
        <v>524.21052631578948</v>
      </c>
      <c r="X30">
        <v>89</v>
      </c>
    </row>
    <row r="31" spans="1:24" x14ac:dyDescent="0.25">
      <c r="A31" s="11"/>
      <c r="B31" s="9">
        <v>326.57</v>
      </c>
      <c r="C31" s="9">
        <v>326.56</v>
      </c>
      <c r="E31" s="16"/>
      <c r="F31" s="16"/>
      <c r="G31" s="1"/>
      <c r="H31" s="16"/>
      <c r="I31" s="16"/>
      <c r="J31" s="16"/>
      <c r="K31" s="16"/>
      <c r="M31" s="15"/>
      <c r="N31" s="15"/>
      <c r="P31">
        <v>1433.25</v>
      </c>
      <c r="Q31">
        <v>838.46125277983697</v>
      </c>
      <c r="R31">
        <v>594.78874722016303</v>
      </c>
      <c r="S31">
        <v>544.81049999999993</v>
      </c>
      <c r="T31">
        <v>10.399999999999999</v>
      </c>
      <c r="U31">
        <v>1508.6842105263158</v>
      </c>
      <c r="V31">
        <v>159</v>
      </c>
      <c r="W31">
        <v>567.8947368421052</v>
      </c>
      <c r="X31">
        <v>89</v>
      </c>
    </row>
    <row r="32" spans="1:24" x14ac:dyDescent="0.25">
      <c r="A32" s="11"/>
      <c r="B32" s="9">
        <v>351.62</v>
      </c>
      <c r="C32" s="9">
        <v>351.6</v>
      </c>
      <c r="E32" s="16"/>
      <c r="F32" s="16"/>
      <c r="G32" s="1"/>
      <c r="H32" s="16"/>
      <c r="I32" s="16"/>
      <c r="J32" s="16"/>
      <c r="K32" s="16"/>
      <c r="M32" s="15"/>
      <c r="N32" s="15"/>
      <c r="P32">
        <v>1543.5</v>
      </c>
      <c r="Q32">
        <v>838.6140590405904</v>
      </c>
      <c r="R32">
        <v>704.8859409594096</v>
      </c>
      <c r="S32">
        <v>586.71899999999994</v>
      </c>
      <c r="T32">
        <v>11.2</v>
      </c>
      <c r="U32">
        <v>1624.7368421052631</v>
      </c>
      <c r="V32">
        <v>159</v>
      </c>
      <c r="W32">
        <v>611.57894736842104</v>
      </c>
      <c r="X32">
        <v>89</v>
      </c>
    </row>
    <row r="33" spans="1:24" x14ac:dyDescent="0.25">
      <c r="A33" s="11"/>
      <c r="B33" s="9">
        <v>375.78</v>
      </c>
      <c r="C33" s="9">
        <v>375.76</v>
      </c>
      <c r="E33" s="16"/>
      <c r="F33" s="16"/>
      <c r="G33" s="1"/>
      <c r="H33" s="16"/>
      <c r="I33" s="16"/>
      <c r="J33" s="16"/>
      <c r="K33" s="16"/>
      <c r="M33" s="15"/>
      <c r="N33" s="15"/>
      <c r="P33">
        <v>1653.75</v>
      </c>
      <c r="Q33">
        <v>838.8157836644591</v>
      </c>
      <c r="R33">
        <v>814.9342163355409</v>
      </c>
      <c r="S33">
        <v>628.62749999999994</v>
      </c>
      <c r="T33">
        <v>12</v>
      </c>
      <c r="U33">
        <v>1740.7894736842106</v>
      </c>
      <c r="V33">
        <v>159</v>
      </c>
      <c r="W33">
        <v>655.26315789473676</v>
      </c>
      <c r="X33">
        <v>89</v>
      </c>
    </row>
    <row r="34" spans="1:24" x14ac:dyDescent="0.25">
      <c r="A34" s="11"/>
      <c r="B34" s="9">
        <v>399.72</v>
      </c>
      <c r="C34" s="9">
        <v>399.69</v>
      </c>
      <c r="E34" s="16"/>
      <c r="F34" s="16"/>
      <c r="G34" s="1"/>
      <c r="H34" s="16"/>
      <c r="I34" s="16"/>
      <c r="J34" s="16"/>
      <c r="K34" s="16"/>
      <c r="M34" s="15"/>
      <c r="N34" s="15"/>
      <c r="P34">
        <v>1764</v>
      </c>
      <c r="Q34">
        <v>838.98168888888893</v>
      </c>
      <c r="R34">
        <v>925.01831111111107</v>
      </c>
      <c r="S34">
        <v>670.53599999999994</v>
      </c>
      <c r="T34">
        <v>12.799999999999999</v>
      </c>
      <c r="U34">
        <v>1856.8421052631579</v>
      </c>
      <c r="V34">
        <v>159</v>
      </c>
      <c r="W34">
        <v>698.9473684210526</v>
      </c>
      <c r="X34">
        <v>89</v>
      </c>
    </row>
    <row r="35" spans="1:24" x14ac:dyDescent="0.25">
      <c r="A35" s="11"/>
      <c r="B35" s="9">
        <v>424.57</v>
      </c>
      <c r="C35" s="9">
        <v>424.53</v>
      </c>
      <c r="E35" s="16"/>
      <c r="F35" s="16"/>
      <c r="G35" s="1"/>
      <c r="H35" s="16"/>
      <c r="I35" s="16"/>
      <c r="J35" s="16"/>
      <c r="K35" s="16"/>
      <c r="M35" s="15"/>
      <c r="N35" s="15"/>
      <c r="P35">
        <v>1874.25</v>
      </c>
      <c r="Q35">
        <v>839.22502018842533</v>
      </c>
      <c r="R35">
        <v>1035.0249798115747</v>
      </c>
      <c r="S35">
        <v>712.44449999999995</v>
      </c>
      <c r="T35">
        <v>13.6</v>
      </c>
      <c r="U35">
        <v>1972.8947368421052</v>
      </c>
      <c r="V35">
        <v>159</v>
      </c>
      <c r="W35">
        <v>742.63157894736844</v>
      </c>
      <c r="X35">
        <v>89</v>
      </c>
    </row>
    <row r="36" spans="1:24" x14ac:dyDescent="0.25">
      <c r="A36" s="11"/>
      <c r="B36" s="9">
        <v>449.14</v>
      </c>
      <c r="C36" s="9">
        <v>449.04</v>
      </c>
      <c r="E36" s="16"/>
      <c r="F36" s="16"/>
      <c r="G36" s="1"/>
      <c r="H36" s="16"/>
      <c r="I36" s="16"/>
      <c r="J36" s="16"/>
      <c r="K36" s="16"/>
      <c r="M36" s="15"/>
      <c r="N36" s="15"/>
      <c r="P36">
        <v>1984.5</v>
      </c>
      <c r="Q36">
        <v>839.27774666666664</v>
      </c>
      <c r="R36">
        <v>1145.2222533333334</v>
      </c>
      <c r="S36">
        <v>754.35299999999995</v>
      </c>
      <c r="T36">
        <v>14.4</v>
      </c>
      <c r="U36">
        <v>2088.9473684210525</v>
      </c>
      <c r="V36">
        <v>159</v>
      </c>
      <c r="W36">
        <v>786.31578947368416</v>
      </c>
      <c r="X36">
        <v>89</v>
      </c>
    </row>
    <row r="37" spans="1:24" x14ac:dyDescent="0.25">
      <c r="A37" s="11"/>
      <c r="B37" s="9">
        <v>473.47</v>
      </c>
      <c r="C37" s="9">
        <v>473.19</v>
      </c>
      <c r="E37" s="16"/>
      <c r="F37" s="16"/>
      <c r="G37" s="1"/>
      <c r="H37" s="16"/>
      <c r="I37" s="16"/>
      <c r="J37" s="16"/>
      <c r="K37" s="16"/>
      <c r="M37" s="15"/>
      <c r="N37" s="15"/>
      <c r="P37">
        <v>2094.75</v>
      </c>
      <c r="Q37">
        <v>839.46663973063971</v>
      </c>
      <c r="R37">
        <v>1255.2833602693602</v>
      </c>
      <c r="S37">
        <v>796.26149999999996</v>
      </c>
      <c r="T37">
        <v>15.2</v>
      </c>
      <c r="U37">
        <v>2204.9899999999998</v>
      </c>
      <c r="V37">
        <v>159</v>
      </c>
      <c r="W37">
        <v>829.99</v>
      </c>
      <c r="X37">
        <v>89</v>
      </c>
    </row>
    <row r="38" spans="1:24" x14ac:dyDescent="0.25">
      <c r="A38" s="11"/>
      <c r="B38" s="9">
        <v>497.99</v>
      </c>
      <c r="C38" s="9">
        <v>497.34</v>
      </c>
      <c r="E38" s="16"/>
      <c r="F38" s="16"/>
      <c r="G38" s="1"/>
      <c r="H38" s="16"/>
      <c r="I38" s="16"/>
      <c r="J38" s="16"/>
      <c r="K38" s="16"/>
      <c r="M38" s="15"/>
      <c r="N38" s="15"/>
      <c r="P38">
        <v>2205</v>
      </c>
      <c r="Q38">
        <v>838.17</v>
      </c>
      <c r="R38">
        <v>1366.83</v>
      </c>
      <c r="S38">
        <v>838.17</v>
      </c>
      <c r="T38">
        <v>16</v>
      </c>
      <c r="U38">
        <v>2205</v>
      </c>
      <c r="V38">
        <v>159</v>
      </c>
      <c r="W38">
        <v>830</v>
      </c>
      <c r="X38">
        <v>89</v>
      </c>
    </row>
    <row r="39" spans="1:24" x14ac:dyDescent="0.25">
      <c r="A39" s="11"/>
      <c r="B39" s="9">
        <v>521.82000000000005</v>
      </c>
      <c r="C39" s="9">
        <v>520.44000000000005</v>
      </c>
      <c r="G39" s="1"/>
      <c r="M39" s="15"/>
      <c r="N39" s="15"/>
    </row>
    <row r="40" spans="1:24" x14ac:dyDescent="0.25">
      <c r="A40" s="11"/>
      <c r="B40" s="16">
        <v>530.67999999999995</v>
      </c>
      <c r="C40" s="16">
        <v>528.9</v>
      </c>
      <c r="G40" s="1"/>
      <c r="M40" s="15"/>
      <c r="N40" s="15"/>
    </row>
    <row r="41" spans="1:24" x14ac:dyDescent="0.25">
      <c r="A41" s="11"/>
      <c r="B41" s="16">
        <v>556.64</v>
      </c>
      <c r="C41" s="16">
        <v>553.29999999999995</v>
      </c>
      <c r="G41" s="1"/>
      <c r="M41" s="15"/>
      <c r="N41" s="15"/>
    </row>
    <row r="42" spans="1:24" x14ac:dyDescent="0.25">
      <c r="A42" s="11"/>
      <c r="B42" s="16">
        <v>582.17999999999995</v>
      </c>
      <c r="C42" s="16">
        <v>576.86</v>
      </c>
      <c r="G42" s="1"/>
      <c r="M42" s="15"/>
      <c r="N42" s="15"/>
    </row>
    <row r="43" spans="1:24" x14ac:dyDescent="0.25">
      <c r="A43" s="11"/>
      <c r="B43" s="16">
        <v>605.41</v>
      </c>
      <c r="C43" s="16">
        <v>597.87</v>
      </c>
      <c r="G43" s="1"/>
      <c r="M43" s="15"/>
      <c r="N43" s="15"/>
    </row>
    <row r="44" spans="1:24" x14ac:dyDescent="0.25">
      <c r="A44" s="11"/>
      <c r="B44" s="16">
        <v>632.05999999999995</v>
      </c>
      <c r="C44" s="16">
        <v>621.36</v>
      </c>
      <c r="G44" s="1"/>
      <c r="M44" s="15"/>
      <c r="N44" s="15"/>
    </row>
    <row r="45" spans="1:24" x14ac:dyDescent="0.25">
      <c r="A45" s="11"/>
      <c r="B45" s="16">
        <v>657.79</v>
      </c>
      <c r="C45" s="16">
        <v>643.38</v>
      </c>
      <c r="G45" s="1"/>
      <c r="M45" s="15"/>
      <c r="N45" s="15"/>
    </row>
    <row r="46" spans="1:24" x14ac:dyDescent="0.25">
      <c r="A46" s="11"/>
      <c r="B46" s="16">
        <v>682.96</v>
      </c>
      <c r="C46" s="16">
        <v>664.2</v>
      </c>
      <c r="G46" s="1"/>
    </row>
    <row r="47" spans="1:24" x14ac:dyDescent="0.25">
      <c r="A47" s="11"/>
      <c r="B47" s="16">
        <v>707.16</v>
      </c>
      <c r="C47" s="16">
        <v>683.05</v>
      </c>
      <c r="G47" s="1"/>
    </row>
    <row r="48" spans="1:24" x14ac:dyDescent="0.25">
      <c r="A48" s="11"/>
      <c r="B48" s="16">
        <v>730.92</v>
      </c>
      <c r="C48" s="16" t="s">
        <v>195</v>
      </c>
      <c r="G48" s="1"/>
    </row>
    <row r="49" spans="1:7" x14ac:dyDescent="0.25">
      <c r="A49" s="11"/>
      <c r="B49" s="16">
        <v>755.92</v>
      </c>
      <c r="C49" s="16">
        <v>716.11</v>
      </c>
      <c r="G49" s="1"/>
    </row>
    <row r="50" spans="1:7" x14ac:dyDescent="0.25">
      <c r="A50" s="11"/>
      <c r="B50" s="16">
        <v>779.76</v>
      </c>
      <c r="C50" s="16">
        <v>729.96</v>
      </c>
      <c r="G50" s="1"/>
    </row>
    <row r="51" spans="1:7" x14ac:dyDescent="0.25">
      <c r="A51" s="11"/>
      <c r="B51" s="16">
        <v>803.97</v>
      </c>
      <c r="C51" s="16">
        <v>743.39</v>
      </c>
      <c r="G51" s="1"/>
    </row>
    <row r="52" spans="1:7" x14ac:dyDescent="0.25">
      <c r="A52" s="11"/>
      <c r="B52" s="16">
        <v>828.29</v>
      </c>
      <c r="C52" s="16">
        <v>756.99</v>
      </c>
      <c r="G52" s="1"/>
    </row>
    <row r="53" spans="1:7" x14ac:dyDescent="0.25">
      <c r="A53" s="11"/>
      <c r="B53" s="16">
        <v>850.28</v>
      </c>
      <c r="C53" s="16">
        <v>769.15</v>
      </c>
      <c r="G53" s="1"/>
    </row>
    <row r="54" spans="1:7" x14ac:dyDescent="0.25">
      <c r="A54" s="11"/>
      <c r="B54" s="16">
        <v>876.02</v>
      </c>
      <c r="C54" s="16">
        <v>782.02</v>
      </c>
      <c r="G54" s="1"/>
    </row>
    <row r="55" spans="1:7" x14ac:dyDescent="0.25">
      <c r="A55" s="11"/>
      <c r="B55" s="16">
        <v>899.99</v>
      </c>
      <c r="C55" s="16">
        <v>792.18</v>
      </c>
      <c r="G55" s="1"/>
    </row>
    <row r="56" spans="1:7" x14ac:dyDescent="0.25">
      <c r="A56" s="11"/>
      <c r="B56" s="16">
        <v>925.63</v>
      </c>
      <c r="C56" s="16">
        <v>801.34</v>
      </c>
      <c r="G56" s="1"/>
    </row>
    <row r="57" spans="1:7" x14ac:dyDescent="0.25">
      <c r="A57" s="11"/>
      <c r="B57" s="16">
        <v>952.06</v>
      </c>
      <c r="C57" s="16">
        <v>809.29</v>
      </c>
      <c r="G57" s="1"/>
    </row>
    <row r="58" spans="1:7" x14ac:dyDescent="0.25">
      <c r="A58" s="11"/>
      <c r="B58" s="16">
        <v>976.21</v>
      </c>
      <c r="C58" s="16">
        <v>814.89</v>
      </c>
      <c r="G58" s="1"/>
    </row>
    <row r="59" spans="1:7" x14ac:dyDescent="0.25">
      <c r="A59" s="11"/>
      <c r="B59" s="16">
        <v>999.6</v>
      </c>
      <c r="C59" s="16">
        <v>818.04</v>
      </c>
      <c r="G59" s="1"/>
    </row>
    <row r="60" spans="1:7" x14ac:dyDescent="0.25">
      <c r="A60" s="11"/>
      <c r="B60" s="16">
        <v>1014.97</v>
      </c>
      <c r="C60" s="16">
        <v>819.15</v>
      </c>
      <c r="G60" s="1"/>
    </row>
    <row r="61" spans="1:7" x14ac:dyDescent="0.25">
      <c r="A61" s="11"/>
      <c r="B61" s="16">
        <v>1024.6199999999999</v>
      </c>
      <c r="C61" s="16">
        <v>819.65</v>
      </c>
      <c r="G61" s="1"/>
    </row>
    <row r="62" spans="1:7" x14ac:dyDescent="0.25">
      <c r="A62" s="11"/>
      <c r="B62" s="16">
        <v>1037.6199999999999</v>
      </c>
      <c r="C62" s="16">
        <v>820.31</v>
      </c>
      <c r="G62" s="1"/>
    </row>
    <row r="63" spans="1:7" x14ac:dyDescent="0.25">
      <c r="A63" s="11"/>
      <c r="B63" s="16">
        <v>1048.55</v>
      </c>
      <c r="C63" s="16">
        <v>820.98</v>
      </c>
      <c r="G63" s="1"/>
    </row>
    <row r="64" spans="1:7" x14ac:dyDescent="0.25">
      <c r="A64" s="11"/>
      <c r="B64" s="16">
        <v>1061.53</v>
      </c>
      <c r="C64" s="16">
        <v>822.21</v>
      </c>
      <c r="G64" s="1"/>
    </row>
    <row r="65" spans="1:7" x14ac:dyDescent="0.25">
      <c r="A65" s="11"/>
      <c r="B65" s="16">
        <v>1072.92</v>
      </c>
      <c r="C65" s="16">
        <v>823.67</v>
      </c>
      <c r="G65" s="1"/>
    </row>
    <row r="66" spans="1:7" x14ac:dyDescent="0.25">
      <c r="A66" s="11"/>
      <c r="B66" s="16">
        <v>1085.2</v>
      </c>
      <c r="C66" s="16">
        <v>825.27</v>
      </c>
      <c r="G66" s="1"/>
    </row>
    <row r="67" spans="1:7" x14ac:dyDescent="0.25">
      <c r="A67" s="11"/>
      <c r="B67" s="16">
        <v>1096.28</v>
      </c>
      <c r="C67" s="16">
        <v>826.7</v>
      </c>
      <c r="G67" s="1"/>
    </row>
    <row r="68" spans="1:7" x14ac:dyDescent="0.25">
      <c r="A68" s="11"/>
      <c r="B68" s="16">
        <v>1110.57</v>
      </c>
      <c r="C68" s="16">
        <v>828.53</v>
      </c>
      <c r="G68" s="1"/>
    </row>
    <row r="69" spans="1:7" x14ac:dyDescent="0.25">
      <c r="A69" s="11"/>
      <c r="B69" s="16">
        <v>1121.58</v>
      </c>
      <c r="C69" s="16">
        <v>829.99</v>
      </c>
      <c r="G69" s="1"/>
    </row>
    <row r="70" spans="1:7" x14ac:dyDescent="0.25">
      <c r="A70" s="11"/>
      <c r="B70" s="16">
        <v>1134.9000000000001</v>
      </c>
      <c r="C70" s="16">
        <v>831.8</v>
      </c>
      <c r="G70" s="1"/>
    </row>
    <row r="71" spans="1:7" x14ac:dyDescent="0.25">
      <c r="A71" s="11"/>
      <c r="B71" s="16">
        <v>1146.8800000000001</v>
      </c>
      <c r="C71" s="16">
        <v>833.44</v>
      </c>
      <c r="G71" s="1"/>
    </row>
    <row r="72" spans="1:7" x14ac:dyDescent="0.25">
      <c r="A72" s="11"/>
      <c r="B72" s="16">
        <v>1160.18</v>
      </c>
      <c r="C72" s="16">
        <v>834.98</v>
      </c>
      <c r="G72" s="1"/>
    </row>
    <row r="73" spans="1:7" x14ac:dyDescent="0.25">
      <c r="A73" s="11"/>
      <c r="B73" s="16">
        <v>1164.8800000000001</v>
      </c>
      <c r="C73" s="16">
        <v>835.36</v>
      </c>
      <c r="G73" s="1"/>
    </row>
    <row r="74" spans="1:7" x14ac:dyDescent="0.25">
      <c r="A74" s="11"/>
      <c r="B74" s="16">
        <v>1181.95</v>
      </c>
      <c r="C74" s="16">
        <v>836.44</v>
      </c>
      <c r="G74" s="1"/>
    </row>
    <row r="75" spans="1:7" x14ac:dyDescent="0.25">
      <c r="A75" s="11"/>
      <c r="B75" s="16">
        <v>1194.8</v>
      </c>
      <c r="C75" s="16">
        <v>837.08</v>
      </c>
      <c r="G75" s="1"/>
    </row>
    <row r="76" spans="1:7" x14ac:dyDescent="0.25">
      <c r="A76" s="11"/>
      <c r="B76" s="16">
        <v>1206.4000000000001</v>
      </c>
      <c r="C76" s="16">
        <v>837.53</v>
      </c>
      <c r="G76" s="1"/>
    </row>
    <row r="77" spans="1:7" x14ac:dyDescent="0.25">
      <c r="A77" s="11"/>
      <c r="B77" s="16">
        <v>1220.56</v>
      </c>
      <c r="C77" s="16">
        <v>837.76</v>
      </c>
      <c r="G77" s="1"/>
    </row>
    <row r="78" spans="1:7" x14ac:dyDescent="0.25">
      <c r="A78" s="11"/>
      <c r="B78" s="16">
        <v>1231.4100000000001</v>
      </c>
      <c r="C78" s="16">
        <v>837.85</v>
      </c>
      <c r="G78" s="1"/>
    </row>
    <row r="79" spans="1:7" x14ac:dyDescent="0.25">
      <c r="A79" s="11"/>
      <c r="B79" s="16">
        <v>1245.18</v>
      </c>
      <c r="C79" s="16">
        <v>838.01</v>
      </c>
      <c r="G79" s="1"/>
    </row>
    <row r="80" spans="1:7" x14ac:dyDescent="0.25">
      <c r="A80" s="11"/>
      <c r="B80" s="16">
        <v>1256.46</v>
      </c>
      <c r="C80" s="16">
        <v>838.06</v>
      </c>
      <c r="G80" s="1"/>
    </row>
    <row r="81" spans="1:7" x14ac:dyDescent="0.25">
      <c r="A81" s="11"/>
      <c r="B81" s="16">
        <v>1269.3599999999999</v>
      </c>
      <c r="C81" s="16">
        <v>838.06</v>
      </c>
      <c r="G81" s="1"/>
    </row>
    <row r="82" spans="1:7" x14ac:dyDescent="0.25">
      <c r="A82" s="11"/>
      <c r="B82" s="16">
        <v>1281.3800000000001</v>
      </c>
      <c r="C82" s="16">
        <v>838.07</v>
      </c>
      <c r="G82" s="1"/>
    </row>
    <row r="83" spans="1:7" x14ac:dyDescent="0.25">
      <c r="A83" s="11"/>
      <c r="B83" s="16">
        <v>1294.1300000000001</v>
      </c>
      <c r="C83" s="16">
        <v>838.09</v>
      </c>
      <c r="G83" s="1"/>
    </row>
    <row r="84" spans="1:7" x14ac:dyDescent="0.25">
      <c r="A84" s="11"/>
      <c r="B84" s="16">
        <v>1306.1099999999999</v>
      </c>
      <c r="C84" s="16">
        <v>838.13</v>
      </c>
      <c r="G84" s="1"/>
    </row>
    <row r="85" spans="1:7" x14ac:dyDescent="0.25">
      <c r="A85" s="11"/>
      <c r="B85" s="16">
        <v>1319.1</v>
      </c>
      <c r="C85" s="16">
        <v>838.2</v>
      </c>
      <c r="G85" s="1"/>
    </row>
    <row r="86" spans="1:7" x14ac:dyDescent="0.25">
      <c r="A86" s="11"/>
      <c r="B86" s="16">
        <v>1331.1</v>
      </c>
      <c r="C86" s="16">
        <v>838.26</v>
      </c>
      <c r="G86" s="1"/>
    </row>
    <row r="87" spans="1:7" x14ac:dyDescent="0.25">
      <c r="A87" s="11"/>
      <c r="B87" s="16">
        <v>1343.93</v>
      </c>
      <c r="C87" s="16">
        <v>838.28</v>
      </c>
      <c r="G87" s="1"/>
    </row>
    <row r="88" spans="1:7" x14ac:dyDescent="0.25">
      <c r="A88" s="11"/>
      <c r="B88" s="16">
        <v>1355.91</v>
      </c>
      <c r="C88" s="16">
        <v>838.31</v>
      </c>
      <c r="G88" s="1"/>
    </row>
    <row r="89" spans="1:7" x14ac:dyDescent="0.25">
      <c r="A89" s="11"/>
      <c r="B89" s="16">
        <v>1370.69</v>
      </c>
      <c r="C89" s="16">
        <v>838.34</v>
      </c>
      <c r="G89" s="1"/>
    </row>
    <row r="90" spans="1:7" x14ac:dyDescent="0.25">
      <c r="A90" s="11"/>
      <c r="B90" s="16">
        <v>1384.07</v>
      </c>
      <c r="C90" s="16">
        <v>838.36</v>
      </c>
      <c r="G90" s="1"/>
    </row>
    <row r="91" spans="1:7" x14ac:dyDescent="0.25">
      <c r="A91" s="11"/>
      <c r="B91" s="16">
        <v>1398.31</v>
      </c>
      <c r="C91" s="16">
        <v>838.39</v>
      </c>
      <c r="G91" s="1"/>
    </row>
    <row r="92" spans="1:7" x14ac:dyDescent="0.25">
      <c r="A92" s="11"/>
      <c r="B92" s="16">
        <v>1411.69</v>
      </c>
      <c r="C92" s="16">
        <v>838.41</v>
      </c>
      <c r="G92" s="1"/>
    </row>
    <row r="93" spans="1:7" x14ac:dyDescent="0.25">
      <c r="A93" s="11"/>
      <c r="B93" s="16">
        <v>1425.66</v>
      </c>
      <c r="C93" s="16">
        <v>838.45</v>
      </c>
      <c r="G93" s="1"/>
    </row>
    <row r="94" spans="1:7" x14ac:dyDescent="0.25">
      <c r="A94" s="11"/>
      <c r="B94" s="16">
        <v>1439.15</v>
      </c>
      <c r="C94" s="16">
        <v>838.47</v>
      </c>
      <c r="G94" s="1"/>
    </row>
    <row r="95" spans="1:7" x14ac:dyDescent="0.25">
      <c r="A95" s="11"/>
      <c r="B95" s="16">
        <v>1453.99</v>
      </c>
      <c r="C95" s="16">
        <v>838.49</v>
      </c>
      <c r="G95" s="1"/>
    </row>
    <row r="96" spans="1:7" x14ac:dyDescent="0.25">
      <c r="A96" s="11"/>
      <c r="B96" s="16">
        <v>1467.67</v>
      </c>
      <c r="C96" s="16">
        <v>838.52</v>
      </c>
      <c r="G96" s="1"/>
    </row>
    <row r="97" spans="1:7" x14ac:dyDescent="0.25">
      <c r="A97" s="11"/>
      <c r="B97" s="16">
        <v>1480.99</v>
      </c>
      <c r="C97" s="16">
        <v>838.53</v>
      </c>
      <c r="G97" s="1"/>
    </row>
    <row r="98" spans="1:7" x14ac:dyDescent="0.25">
      <c r="A98" s="11"/>
      <c r="B98" s="16">
        <v>1494.58</v>
      </c>
      <c r="C98" s="16">
        <v>838.54</v>
      </c>
      <c r="G98" s="1"/>
    </row>
    <row r="99" spans="1:7" x14ac:dyDescent="0.25">
      <c r="A99" s="11"/>
      <c r="B99" s="16">
        <v>1508.56</v>
      </c>
      <c r="C99" s="16">
        <v>838.57</v>
      </c>
      <c r="G99" s="1"/>
    </row>
    <row r="100" spans="1:7" x14ac:dyDescent="0.25">
      <c r="A100" s="11"/>
      <c r="B100" s="16">
        <v>1522.66</v>
      </c>
      <c r="C100" s="16">
        <v>838.59</v>
      </c>
      <c r="G100" s="1"/>
    </row>
    <row r="101" spans="1:7" x14ac:dyDescent="0.25">
      <c r="A101" s="11"/>
      <c r="B101" s="16">
        <v>1537.15</v>
      </c>
      <c r="C101" s="16">
        <v>838.6</v>
      </c>
      <c r="G101" s="1"/>
    </row>
    <row r="102" spans="1:7" x14ac:dyDescent="0.25">
      <c r="A102" s="11"/>
      <c r="B102" s="16">
        <v>1550.7</v>
      </c>
      <c r="C102" s="16">
        <v>838.63</v>
      </c>
      <c r="G102" s="1"/>
    </row>
    <row r="103" spans="1:7" x14ac:dyDescent="0.25">
      <c r="A103" s="11"/>
      <c r="B103" s="16">
        <v>1564.58</v>
      </c>
      <c r="C103" s="16">
        <v>838.67</v>
      </c>
      <c r="G103" s="1"/>
    </row>
    <row r="104" spans="1:7" x14ac:dyDescent="0.25">
      <c r="A104" s="11"/>
      <c r="B104" s="16">
        <v>1579.12</v>
      </c>
      <c r="C104" s="16">
        <v>838.71</v>
      </c>
      <c r="G104" s="1"/>
    </row>
    <row r="105" spans="1:7" x14ac:dyDescent="0.25">
      <c r="A105" s="11"/>
      <c r="B105" s="16">
        <v>1593.72</v>
      </c>
      <c r="C105" s="16">
        <v>838.72</v>
      </c>
      <c r="G105" s="1"/>
    </row>
    <row r="106" spans="1:7" x14ac:dyDescent="0.25">
      <c r="A106" s="11"/>
      <c r="B106" s="16">
        <v>1607.33</v>
      </c>
      <c r="C106" s="16">
        <v>838.74</v>
      </c>
      <c r="G106" s="1"/>
    </row>
    <row r="107" spans="1:7" x14ac:dyDescent="0.25">
      <c r="A107" s="11"/>
      <c r="B107" s="16">
        <v>1621.6</v>
      </c>
      <c r="C107" s="16">
        <v>838.76</v>
      </c>
      <c r="G107" s="1"/>
    </row>
    <row r="108" spans="1:7" x14ac:dyDescent="0.25">
      <c r="A108" s="11"/>
      <c r="B108" s="16">
        <v>1635.33</v>
      </c>
      <c r="C108" s="16">
        <v>838.78</v>
      </c>
      <c r="G108" s="1"/>
    </row>
    <row r="109" spans="1:7" x14ac:dyDescent="0.25">
      <c r="A109" s="11"/>
      <c r="B109" s="16">
        <v>1649.82</v>
      </c>
      <c r="C109" s="16">
        <v>838.81</v>
      </c>
      <c r="G109" s="1"/>
    </row>
    <row r="110" spans="1:7" x14ac:dyDescent="0.25">
      <c r="A110" s="11"/>
      <c r="B110" s="16">
        <v>1663.41</v>
      </c>
      <c r="C110" s="16">
        <v>838.83</v>
      </c>
      <c r="G110" s="1"/>
    </row>
    <row r="111" spans="1:7" x14ac:dyDescent="0.25">
      <c r="A111" s="11"/>
      <c r="B111" s="16">
        <v>1677.66</v>
      </c>
      <c r="C111" s="16">
        <v>838.86</v>
      </c>
      <c r="G111" s="1"/>
    </row>
    <row r="112" spans="1:7" x14ac:dyDescent="0.25">
      <c r="A112" s="11"/>
      <c r="B112" s="16">
        <v>1691.43</v>
      </c>
      <c r="C112" s="16">
        <v>838.88</v>
      </c>
      <c r="G112" s="1"/>
    </row>
    <row r="113" spans="1:7" x14ac:dyDescent="0.25">
      <c r="A113" s="11"/>
      <c r="B113" s="16">
        <v>1706.41</v>
      </c>
      <c r="C113" s="16">
        <v>838.9</v>
      </c>
      <c r="G113" s="1"/>
    </row>
    <row r="114" spans="1:7" x14ac:dyDescent="0.25">
      <c r="A114" s="11"/>
      <c r="B114" s="16">
        <v>1719.67</v>
      </c>
      <c r="C114" s="16">
        <v>838.91</v>
      </c>
      <c r="G114" s="1"/>
    </row>
    <row r="115" spans="1:7" x14ac:dyDescent="0.25">
      <c r="A115" s="11"/>
      <c r="B115" s="16">
        <v>1734.6</v>
      </c>
      <c r="C115" s="16">
        <v>838.93</v>
      </c>
      <c r="G115" s="1"/>
    </row>
    <row r="116" spans="1:7" x14ac:dyDescent="0.25">
      <c r="A116" s="11"/>
      <c r="B116" s="16">
        <v>1748.2</v>
      </c>
      <c r="C116" s="16">
        <v>838.94</v>
      </c>
      <c r="G116" s="1"/>
    </row>
    <row r="117" spans="1:7" x14ac:dyDescent="0.25">
      <c r="A117" s="11"/>
      <c r="B117" s="16">
        <v>1762.86</v>
      </c>
      <c r="C117" s="16">
        <v>838.98</v>
      </c>
      <c r="G117" s="1"/>
    </row>
    <row r="118" spans="1:7" x14ac:dyDescent="0.25">
      <c r="A118" s="11"/>
      <c r="B118" s="16">
        <v>1776.36</v>
      </c>
      <c r="C118" s="16" t="s">
        <v>196</v>
      </c>
      <c r="G118" s="1"/>
    </row>
    <row r="119" spans="1:7" x14ac:dyDescent="0.25">
      <c r="A119" s="11"/>
      <c r="B119" s="16">
        <v>1790.61</v>
      </c>
      <c r="C119" s="16">
        <v>839.02</v>
      </c>
      <c r="G119" s="1"/>
    </row>
    <row r="120" spans="1:7" x14ac:dyDescent="0.25">
      <c r="A120" s="11"/>
      <c r="B120" s="16">
        <v>1803.99</v>
      </c>
      <c r="C120" s="16">
        <v>839.05</v>
      </c>
      <c r="G120" s="1"/>
    </row>
    <row r="121" spans="1:7" x14ac:dyDescent="0.25">
      <c r="A121" s="11"/>
      <c r="B121" s="16">
        <v>1819.31</v>
      </c>
      <c r="C121" s="16">
        <v>839.1</v>
      </c>
      <c r="G121" s="1"/>
    </row>
    <row r="122" spans="1:7" x14ac:dyDescent="0.25">
      <c r="A122" s="11"/>
      <c r="B122" s="16">
        <v>1832.39</v>
      </c>
      <c r="C122" s="16">
        <v>839.13</v>
      </c>
      <c r="G122" s="1"/>
    </row>
    <row r="123" spans="1:7" x14ac:dyDescent="0.25">
      <c r="A123" s="11"/>
      <c r="B123" s="16">
        <v>1847.5</v>
      </c>
      <c r="C123" s="16">
        <v>839.16</v>
      </c>
      <c r="G123" s="1"/>
    </row>
    <row r="124" spans="1:7" x14ac:dyDescent="0.25">
      <c r="A124" s="11"/>
      <c r="B124" s="16">
        <v>1860.87</v>
      </c>
      <c r="C124" s="16">
        <v>839.18</v>
      </c>
      <c r="G124" s="1"/>
    </row>
    <row r="125" spans="1:7" x14ac:dyDescent="0.25">
      <c r="A125" s="11"/>
      <c r="B125" s="16">
        <v>1875.73</v>
      </c>
      <c r="C125" s="16">
        <v>839.23</v>
      </c>
      <c r="G125" s="1"/>
    </row>
    <row r="126" spans="1:7" x14ac:dyDescent="0.25">
      <c r="A126" s="11"/>
      <c r="B126" s="16">
        <v>1888.86</v>
      </c>
      <c r="C126" s="16">
        <v>839.25</v>
      </c>
      <c r="G126" s="1"/>
    </row>
    <row r="127" spans="1:7" x14ac:dyDescent="0.25">
      <c r="A127" s="11"/>
      <c r="B127" s="16">
        <v>1903.76</v>
      </c>
      <c r="C127" s="16">
        <v>839.22</v>
      </c>
      <c r="G127" s="1"/>
    </row>
    <row r="128" spans="1:7" x14ac:dyDescent="0.25">
      <c r="A128" s="11"/>
      <c r="B128" s="16">
        <v>1917.16</v>
      </c>
      <c r="C128" s="16">
        <v>839.22</v>
      </c>
      <c r="G128" s="1"/>
    </row>
    <row r="129" spans="1:7" x14ac:dyDescent="0.25">
      <c r="A129" s="11"/>
      <c r="B129" s="16">
        <v>1931.39</v>
      </c>
      <c r="C129" s="16">
        <v>839.23</v>
      </c>
      <c r="G129" s="1"/>
    </row>
    <row r="130" spans="1:7" x14ac:dyDescent="0.25">
      <c r="A130" s="11"/>
      <c r="B130" s="16">
        <v>1944.99</v>
      </c>
      <c r="C130" s="16">
        <v>839.23</v>
      </c>
      <c r="G130" s="1"/>
    </row>
    <row r="131" spans="1:7" x14ac:dyDescent="0.25">
      <c r="A131" s="11"/>
      <c r="B131" s="16">
        <v>1959.27</v>
      </c>
      <c r="C131" s="16">
        <v>839.24</v>
      </c>
      <c r="G131" s="1"/>
    </row>
    <row r="132" spans="1:7" x14ac:dyDescent="0.25">
      <c r="A132" s="11"/>
      <c r="B132" s="16">
        <v>1972.88</v>
      </c>
      <c r="C132" s="16">
        <v>839.27</v>
      </c>
      <c r="G132" s="1"/>
    </row>
    <row r="133" spans="1:7" x14ac:dyDescent="0.25">
      <c r="A133" s="11"/>
      <c r="B133" s="16">
        <v>1987.88</v>
      </c>
      <c r="C133" s="16">
        <v>839.28</v>
      </c>
      <c r="G133" s="1"/>
    </row>
    <row r="134" spans="1:7" x14ac:dyDescent="0.25">
      <c r="A134" s="11"/>
      <c r="B134" s="16">
        <v>2000.91</v>
      </c>
      <c r="C134" s="16">
        <v>839.27</v>
      </c>
      <c r="G134" s="1"/>
    </row>
    <row r="135" spans="1:7" x14ac:dyDescent="0.25">
      <c r="A135" s="11"/>
      <c r="B135" s="16">
        <v>2015.17</v>
      </c>
      <c r="C135" s="16">
        <v>839.29</v>
      </c>
      <c r="G135" s="1"/>
    </row>
    <row r="136" spans="1:7" x14ac:dyDescent="0.25">
      <c r="A136" s="11"/>
      <c r="B136" s="16">
        <v>2028.84</v>
      </c>
      <c r="C136" s="16">
        <v>839.33</v>
      </c>
      <c r="G136" s="1"/>
    </row>
    <row r="137" spans="1:7" x14ac:dyDescent="0.25">
      <c r="A137" s="11"/>
      <c r="B137" s="16">
        <v>2042.84</v>
      </c>
      <c r="C137" s="16">
        <v>839.36</v>
      </c>
      <c r="G137" s="1"/>
    </row>
    <row r="138" spans="1:7" x14ac:dyDescent="0.25">
      <c r="A138" s="11"/>
      <c r="B138" s="16">
        <v>2056.5500000000002</v>
      </c>
      <c r="C138" s="16">
        <v>839.37</v>
      </c>
      <c r="G138" s="1"/>
    </row>
    <row r="139" spans="1:7" x14ac:dyDescent="0.25">
      <c r="A139" s="11"/>
      <c r="B139" s="16">
        <v>2071.2600000000002</v>
      </c>
      <c r="C139" s="16">
        <v>839.41</v>
      </c>
      <c r="G139" s="1"/>
    </row>
    <row r="140" spans="1:7" x14ac:dyDescent="0.25">
      <c r="A140" s="11"/>
      <c r="B140" s="16">
        <v>2084.89</v>
      </c>
      <c r="C140" s="16">
        <v>839.46</v>
      </c>
      <c r="G140" s="1"/>
    </row>
    <row r="141" spans="1:7" x14ac:dyDescent="0.25">
      <c r="A141" s="11"/>
      <c r="B141" s="16">
        <v>2099.7399999999998</v>
      </c>
      <c r="C141" s="16">
        <v>839.47</v>
      </c>
      <c r="G141" s="1"/>
    </row>
    <row r="142" spans="1:7" x14ac:dyDescent="0.25">
      <c r="A142" s="11"/>
      <c r="B142" s="16">
        <v>2113.02</v>
      </c>
      <c r="C142" s="16">
        <v>839.48</v>
      </c>
      <c r="G142" s="1"/>
    </row>
    <row r="143" spans="1:7" x14ac:dyDescent="0.25">
      <c r="A143" s="11"/>
      <c r="B143" s="16">
        <v>2127.5100000000002</v>
      </c>
      <c r="C143" s="16">
        <v>839.5</v>
      </c>
      <c r="G143" s="1"/>
    </row>
    <row r="144" spans="1:7" x14ac:dyDescent="0.25">
      <c r="A144" s="11"/>
      <c r="B144" s="16">
        <v>2139.59</v>
      </c>
      <c r="C144" s="16">
        <v>839.5</v>
      </c>
      <c r="G144" s="1"/>
    </row>
    <row r="145" spans="1:7" x14ac:dyDescent="0.25">
      <c r="A145" s="11"/>
      <c r="B145" s="16">
        <v>2155.87</v>
      </c>
      <c r="C145" s="16">
        <v>839.46</v>
      </c>
      <c r="G145" s="1"/>
    </row>
    <row r="146" spans="1:7" x14ac:dyDescent="0.25">
      <c r="A146" s="11"/>
      <c r="B146" s="16">
        <v>2169.56</v>
      </c>
      <c r="C146" s="16">
        <v>839.24</v>
      </c>
      <c r="G146" s="1"/>
    </row>
    <row r="147" spans="1:7" x14ac:dyDescent="0.25">
      <c r="A147" s="11"/>
      <c r="B147" s="16">
        <v>2183.8200000000002</v>
      </c>
      <c r="C147" s="16">
        <v>838.84</v>
      </c>
      <c r="G147" s="1"/>
    </row>
    <row r="148" spans="1:7" x14ac:dyDescent="0.25">
      <c r="A148" s="11"/>
      <c r="B148" s="16">
        <v>2189.5500000000002</v>
      </c>
      <c r="C148" s="16">
        <v>838.67</v>
      </c>
      <c r="G148" s="1"/>
    </row>
    <row r="149" spans="1:7" x14ac:dyDescent="0.25">
      <c r="A149" s="11"/>
      <c r="B149" s="16">
        <v>2205</v>
      </c>
      <c r="C149" s="16">
        <v>838.17</v>
      </c>
      <c r="D149">
        <f>B149-B74</f>
        <v>1023.05</v>
      </c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AI35"/>
  <sheetViews>
    <sheetView topLeftCell="A22" zoomScale="70" zoomScaleNormal="70" workbookViewId="0">
      <selection activeCell="F51" sqref="F51"/>
    </sheetView>
  </sheetViews>
  <sheetFormatPr defaultRowHeight="15" x14ac:dyDescent="0.25"/>
  <cols>
    <col min="2" max="2" width="53.28515625" bestFit="1" customWidth="1"/>
    <col min="3" max="3" width="12" bestFit="1" customWidth="1"/>
    <col min="8" max="8" width="9.42578125" bestFit="1" customWidth="1"/>
    <col min="10" max="10" width="10.42578125" customWidth="1"/>
    <col min="12" max="12" width="17.5703125" bestFit="1" customWidth="1"/>
    <col min="13" max="13" width="21.42578125" bestFit="1" customWidth="1"/>
    <col min="14" max="14" width="15.5703125" bestFit="1" customWidth="1"/>
  </cols>
  <sheetData>
    <row r="1" spans="1:35" x14ac:dyDescent="0.25">
      <c r="A1" t="str">
        <f>версия_</f>
        <v>вер 7.5</v>
      </c>
    </row>
    <row r="3" spans="1:35" x14ac:dyDescent="0.25">
      <c r="B3" s="60" t="s">
        <v>223</v>
      </c>
      <c r="C3" s="203">
        <v>140</v>
      </c>
      <c r="D3" s="106" t="s">
        <v>180</v>
      </c>
    </row>
    <row r="4" spans="1:35" x14ac:dyDescent="0.25">
      <c r="B4" s="60" t="s">
        <v>168</v>
      </c>
      <c r="C4" s="203">
        <v>320</v>
      </c>
      <c r="D4" s="106" t="s">
        <v>169</v>
      </c>
      <c r="R4" s="206" t="s">
        <v>355</v>
      </c>
      <c r="S4" s="206"/>
      <c r="T4" s="206"/>
      <c r="U4" s="206"/>
      <c r="V4" s="206"/>
      <c r="W4" s="206"/>
      <c r="X4" s="206"/>
      <c r="Y4" s="206"/>
      <c r="Z4" s="206"/>
      <c r="AA4" s="205"/>
      <c r="AB4" s="205"/>
      <c r="AC4" s="205"/>
      <c r="AD4" s="119"/>
      <c r="AE4" s="119"/>
      <c r="AF4" s="119"/>
      <c r="AG4" s="119"/>
      <c r="AH4" s="119"/>
      <c r="AI4" s="119"/>
    </row>
    <row r="5" spans="1:35" x14ac:dyDescent="0.25">
      <c r="B5" s="53" t="s">
        <v>170</v>
      </c>
      <c r="C5" s="203">
        <v>1500</v>
      </c>
      <c r="D5" s="106" t="s">
        <v>171</v>
      </c>
      <c r="G5" t="s">
        <v>182</v>
      </c>
      <c r="H5">
        <v>30</v>
      </c>
      <c r="I5" s="206" t="s">
        <v>353</v>
      </c>
      <c r="J5" s="206"/>
      <c r="K5" s="206"/>
      <c r="L5" s="206"/>
      <c r="M5" s="206"/>
      <c r="N5" s="206"/>
      <c r="O5" s="204"/>
      <c r="P5" s="204"/>
      <c r="Q5" s="204"/>
      <c r="R5" s="209" t="s">
        <v>204</v>
      </c>
      <c r="S5" s="210"/>
      <c r="T5" s="210"/>
      <c r="U5" s="210"/>
      <c r="V5" s="210"/>
      <c r="W5" s="210"/>
      <c r="X5" s="210"/>
      <c r="Y5" s="210"/>
      <c r="Z5" s="211"/>
      <c r="AA5" s="205"/>
      <c r="AB5" s="205"/>
      <c r="AC5" s="205"/>
      <c r="AD5" s="119"/>
      <c r="AE5" s="119"/>
      <c r="AF5" s="119"/>
      <c r="AG5" s="119"/>
      <c r="AH5" s="119"/>
      <c r="AI5" s="119"/>
    </row>
    <row r="6" spans="1:35" x14ac:dyDescent="0.25">
      <c r="B6" s="53" t="s">
        <v>172</v>
      </c>
      <c r="C6" s="203">
        <v>38</v>
      </c>
      <c r="D6" s="106" t="s">
        <v>173</v>
      </c>
      <c r="I6" s="206" t="s">
        <v>352</v>
      </c>
      <c r="J6" s="206"/>
      <c r="K6" s="206"/>
      <c r="L6" s="206" t="s">
        <v>354</v>
      </c>
      <c r="M6" s="206"/>
      <c r="N6" s="206"/>
      <c r="O6" s="119"/>
      <c r="P6" s="119"/>
      <c r="Q6" s="119"/>
      <c r="R6" s="207">
        <f>PVT!Rp_m3m3_</f>
        <v>27.58</v>
      </c>
      <c r="S6" s="207">
        <v>9.1933333333333334</v>
      </c>
      <c r="T6" s="207">
        <v>82.74</v>
      </c>
      <c r="U6" s="207">
        <f t="shared" ref="U6:Z6" si="0">R6</f>
        <v>27.58</v>
      </c>
      <c r="V6" s="207">
        <f t="shared" si="0"/>
        <v>9.1933333333333334</v>
      </c>
      <c r="W6" s="207">
        <f t="shared" si="0"/>
        <v>82.74</v>
      </c>
      <c r="X6" s="207">
        <f t="shared" si="0"/>
        <v>27.58</v>
      </c>
      <c r="Y6" s="207">
        <f t="shared" si="0"/>
        <v>9.1933333333333334</v>
      </c>
      <c r="Z6" s="207">
        <f t="shared" si="0"/>
        <v>82.74</v>
      </c>
      <c r="AA6" s="119"/>
      <c r="AB6" s="119"/>
      <c r="AC6" s="119"/>
      <c r="AD6" s="119"/>
      <c r="AE6" s="119"/>
      <c r="AF6" s="119"/>
      <c r="AG6" s="119"/>
      <c r="AH6" s="119"/>
      <c r="AI6" s="119"/>
    </row>
    <row r="7" spans="1:35" x14ac:dyDescent="0.25">
      <c r="B7" s="53" t="s">
        <v>174</v>
      </c>
      <c r="C7" s="208">
        <f>[1]!ESP_IDbyRate(ESP_rate_nom_)</f>
        <v>1033</v>
      </c>
      <c r="D7" s="106"/>
      <c r="H7" t="s">
        <v>181</v>
      </c>
      <c r="I7" s="207" t="s">
        <v>183</v>
      </c>
      <c r="J7" s="207" t="s">
        <v>184</v>
      </c>
      <c r="K7" s="207" t="s">
        <v>185</v>
      </c>
      <c r="L7" s="207" t="str">
        <f>I7 &amp;" при " &amp;viscosity&amp;" сСт"</f>
        <v>Напор при 300 сСт</v>
      </c>
      <c r="M7" s="207" t="str">
        <f>J7 &amp;" при " &amp;viscosity&amp;" сСт"</f>
        <v>Мощность при 300 сСт</v>
      </c>
      <c r="N7" s="207" t="str">
        <f>K7 &amp;" при " &amp;viscosity&amp;" сСт"</f>
        <v>КПД при 300 сСт</v>
      </c>
      <c r="O7" s="119"/>
      <c r="P7" s="119"/>
      <c r="Q7" s="119"/>
      <c r="R7" s="206" t="s">
        <v>201</v>
      </c>
      <c r="S7" s="206"/>
      <c r="T7" s="206"/>
      <c r="U7" s="206" t="s">
        <v>185</v>
      </c>
      <c r="V7" s="206"/>
      <c r="W7" s="206"/>
      <c r="X7" s="206" t="s">
        <v>184</v>
      </c>
      <c r="Y7" s="206"/>
      <c r="Z7" s="206"/>
      <c r="AA7" s="205"/>
      <c r="AB7" s="205"/>
      <c r="AC7" s="205"/>
      <c r="AD7" s="119"/>
      <c r="AE7" s="119"/>
      <c r="AF7" s="119"/>
      <c r="AG7" s="119"/>
      <c r="AH7" s="119"/>
      <c r="AI7" s="119"/>
    </row>
    <row r="8" spans="1:35" x14ac:dyDescent="0.25">
      <c r="B8" s="53" t="s">
        <v>175</v>
      </c>
      <c r="C8" s="208" t="str">
        <f>[1]!ESP_name(ESP_ID_)</f>
        <v>ЭЦН5А-320Э</v>
      </c>
      <c r="D8" s="106"/>
      <c r="G8">
        <v>1</v>
      </c>
      <c r="H8" s="54">
        <v>1</v>
      </c>
      <c r="I8" s="50">
        <v>1466.1658504620191</v>
      </c>
      <c r="J8" s="50">
        <v>28.085467099934462</v>
      </c>
      <c r="K8" s="56">
        <v>6.5251547677530166E-3</v>
      </c>
      <c r="L8">
        <v>1423.0003437835012</v>
      </c>
      <c r="M8">
        <v>48.1504503568991</v>
      </c>
      <c r="N8">
        <v>4.2018636325146389E-3</v>
      </c>
      <c r="O8" s="119"/>
      <c r="P8" s="119"/>
      <c r="Q8" s="119"/>
      <c r="R8">
        <v>131.86742816154376</v>
      </c>
      <c r="S8">
        <v>126.43783711225208</v>
      </c>
      <c r="T8">
        <v>138.89449989080717</v>
      </c>
      <c r="U8">
        <v>4.7220977984040345E-3</v>
      </c>
      <c r="V8">
        <v>4.226366112341875E-3</v>
      </c>
      <c r="W8">
        <v>5.2629046601503221E-3</v>
      </c>
      <c r="X8">
        <v>34.021789743915477</v>
      </c>
      <c r="Y8">
        <v>37.285157513085203</v>
      </c>
      <c r="Z8">
        <v>31.861437938066331</v>
      </c>
      <c r="AA8" s="119"/>
      <c r="AB8" s="119"/>
      <c r="AC8" s="119"/>
      <c r="AD8" s="119"/>
      <c r="AE8" s="119"/>
      <c r="AF8" s="119"/>
      <c r="AG8" s="119"/>
      <c r="AH8" s="119"/>
      <c r="AI8" s="119"/>
    </row>
    <row r="9" spans="1:35" x14ac:dyDescent="0.25">
      <c r="B9" s="53" t="s">
        <v>176</v>
      </c>
      <c r="C9" s="208">
        <f>[1]!ESP_maxRate_m3day(ESP_freq_,ESP_ID_)*1</f>
        <v>418</v>
      </c>
      <c r="D9" s="106"/>
      <c r="G9">
        <v>2</v>
      </c>
      <c r="H9" s="55">
        <f t="shared" ref="H9:H29" si="1">(ESP_qmax_)/(pts_-1)+H8</f>
        <v>15.413793103448276</v>
      </c>
      <c r="I9" s="50">
        <v>1435.7342473006936</v>
      </c>
      <c r="J9" s="50">
        <v>27.710631858165417</v>
      </c>
      <c r="K9" s="56">
        <v>9.7935427543075507E-2</v>
      </c>
      <c r="L9">
        <v>1383.8725406895796</v>
      </c>
      <c r="M9">
        <v>47.457905914418042</v>
      </c>
      <c r="N9">
        <v>6.2804778508766271E-2</v>
      </c>
      <c r="R9">
        <v>128.69652601391331</v>
      </c>
      <c r="S9">
        <v>123.1610256259539</v>
      </c>
      <c r="T9">
        <v>135.71739994832413</v>
      </c>
      <c r="U9">
        <v>7.2128821933013496E-2</v>
      </c>
      <c r="V9">
        <v>6.4436779715202952E-2</v>
      </c>
      <c r="W9">
        <v>8.0483263810547698E-2</v>
      </c>
      <c r="X9">
        <v>33.507845307236657</v>
      </c>
      <c r="Y9">
        <v>36.717493503167304</v>
      </c>
      <c r="Z9">
        <v>31.386300460749581</v>
      </c>
      <c r="AA9" s="119"/>
      <c r="AB9" s="119"/>
      <c r="AC9" s="119"/>
      <c r="AD9" s="119"/>
      <c r="AE9" s="119"/>
      <c r="AF9" s="119"/>
      <c r="AG9" s="119"/>
      <c r="AH9" s="119"/>
      <c r="AI9" s="119"/>
    </row>
    <row r="10" spans="1:35" x14ac:dyDescent="0.25">
      <c r="B10" s="53" t="s">
        <v>177</v>
      </c>
      <c r="C10" s="208">
        <f>INT(ESP_head_nom_/[1]!ESP_head_m(ESP_rate_nom_,1,,ESP_ID_))</f>
        <v>339</v>
      </c>
      <c r="D10" s="106" t="s">
        <v>178</v>
      </c>
      <c r="G10">
        <v>3</v>
      </c>
      <c r="H10" s="55">
        <f t="shared" si="1"/>
        <v>29.827586206896552</v>
      </c>
      <c r="I10" s="50">
        <v>1409.2513592060304</v>
      </c>
      <c r="J10" s="50">
        <v>27.49080496812876</v>
      </c>
      <c r="K10" s="56">
        <v>0.18297772611658739</v>
      </c>
      <c r="L10">
        <v>1349.4367335272127</v>
      </c>
      <c r="M10">
        <v>47.091922427734453</v>
      </c>
      <c r="N10">
        <v>0.11685847176255383</v>
      </c>
      <c r="R10">
        <v>125.93384168030187</v>
      </c>
      <c r="S10">
        <v>120.30572675513875</v>
      </c>
      <c r="T10">
        <v>132.95266729616398</v>
      </c>
      <c r="U10">
        <v>0.137774690582665</v>
      </c>
      <c r="V10">
        <v>0.12279724942599768</v>
      </c>
      <c r="W10">
        <v>0.15395190029536152</v>
      </c>
      <c r="X10">
        <v>33.219358761773933</v>
      </c>
      <c r="Y10">
        <v>36.419816012763356</v>
      </c>
      <c r="Z10">
        <v>31.110915261987707</v>
      </c>
      <c r="AA10" s="119"/>
      <c r="AB10" s="119"/>
      <c r="AC10" s="119"/>
      <c r="AD10" s="119"/>
      <c r="AE10" s="119"/>
      <c r="AF10" s="119"/>
      <c r="AG10" s="119"/>
      <c r="AH10" s="119"/>
      <c r="AI10" s="119"/>
    </row>
    <row r="11" spans="1:35" x14ac:dyDescent="0.25">
      <c r="B11" s="53"/>
      <c r="C11" s="106"/>
      <c r="D11" s="106"/>
      <c r="G11">
        <v>4</v>
      </c>
      <c r="H11" s="55">
        <f t="shared" si="1"/>
        <v>44.241379310344826</v>
      </c>
      <c r="I11" s="50">
        <v>1384.9009382232398</v>
      </c>
      <c r="J11" s="50">
        <v>27.435045632388704</v>
      </c>
      <c r="K11" s="56">
        <v>0.26137713925827116</v>
      </c>
      <c r="L11">
        <v>1317.3620106927963</v>
      </c>
      <c r="M11">
        <v>47.069455360532757</v>
      </c>
      <c r="N11">
        <v>0.16616658764540124</v>
      </c>
      <c r="R11">
        <v>123.37682839927217</v>
      </c>
      <c r="S11">
        <v>117.65171432237122</v>
      </c>
      <c r="T11">
        <v>130.40073113311612</v>
      </c>
      <c r="U11">
        <v>0.20053923983695404</v>
      </c>
      <c r="V11">
        <v>0.17819939749250505</v>
      </c>
      <c r="W11">
        <v>0.22449103351945282</v>
      </c>
      <c r="X11">
        <v>33.165193014564899</v>
      </c>
      <c r="Y11">
        <v>36.403277203860149</v>
      </c>
      <c r="Z11">
        <v>31.043319838513348</v>
      </c>
      <c r="AA11" s="119"/>
      <c r="AB11" s="119"/>
      <c r="AC11" s="119"/>
      <c r="AD11" s="119"/>
      <c r="AE11" s="119"/>
      <c r="AF11" s="119"/>
      <c r="AG11" s="119"/>
      <c r="AH11" s="119"/>
      <c r="AI11" s="119"/>
    </row>
    <row r="12" spans="1:35" x14ac:dyDescent="0.25">
      <c r="B12" s="58" t="s">
        <v>203</v>
      </c>
      <c r="C12" s="203">
        <v>3</v>
      </c>
      <c r="D12" s="106" t="s">
        <v>200</v>
      </c>
      <c r="G12">
        <v>5</v>
      </c>
      <c r="H12" s="55">
        <f t="shared" si="1"/>
        <v>58.655172413793103</v>
      </c>
      <c r="I12" s="50">
        <v>1361.1922954176353</v>
      </c>
      <c r="J12" s="50">
        <v>27.542289867893231</v>
      </c>
      <c r="K12" s="56">
        <v>0.33300393689004698</v>
      </c>
      <c r="L12">
        <v>1285.8138918932718</v>
      </c>
      <c r="M12">
        <v>47.382460051277867</v>
      </c>
      <c r="N12">
        <v>0.21065446314618291</v>
      </c>
      <c r="R12">
        <v>120.86378624392424</v>
      </c>
      <c r="S12">
        <v>115.02601579526112</v>
      </c>
      <c r="T12">
        <v>127.90054877495913</v>
      </c>
      <c r="U12">
        <v>0.25911606476406623</v>
      </c>
      <c r="V12">
        <v>0.22937583364228531</v>
      </c>
      <c r="W12">
        <v>0.29070961791266431</v>
      </c>
      <c r="X12">
        <v>33.338568635908253</v>
      </c>
      <c r="Y12">
        <v>36.658281834640469</v>
      </c>
      <c r="Z12">
        <v>31.178302055769198</v>
      </c>
      <c r="AA12" s="119"/>
      <c r="AB12" s="119"/>
      <c r="AC12" s="119"/>
      <c r="AD12" s="119"/>
      <c r="AE12" s="119"/>
      <c r="AF12" s="119"/>
      <c r="AG12" s="119"/>
      <c r="AH12" s="119"/>
    </row>
    <row r="13" spans="1:35" x14ac:dyDescent="0.25">
      <c r="G13">
        <v>6</v>
      </c>
      <c r="H13" s="55">
        <f t="shared" si="1"/>
        <v>73.068965517241381</v>
      </c>
      <c r="I13" s="50">
        <v>1336.9325888207607</v>
      </c>
      <c r="J13" s="50">
        <v>27.802736090374705</v>
      </c>
      <c r="K13" s="56">
        <v>0.39785228821193758</v>
      </c>
      <c r="L13">
        <v>1253.4000721614057</v>
      </c>
      <c r="M13">
        <v>48.001782667368644</v>
      </c>
      <c r="N13">
        <v>0.25034879991204928</v>
      </c>
      <c r="R13">
        <v>118.26970662495438</v>
      </c>
      <c r="S13">
        <v>112.29775915557099</v>
      </c>
      <c r="T13">
        <v>125.3259476877073</v>
      </c>
      <c r="U13">
        <v>0.31230945314950553</v>
      </c>
      <c r="V13">
        <v>0.27521269549254379</v>
      </c>
      <c r="W13">
        <v>0.35130412344413298</v>
      </c>
      <c r="X13">
        <v>33.719401862158705</v>
      </c>
      <c r="Y13">
        <v>37.157813017116446</v>
      </c>
      <c r="Z13">
        <v>31.499317870939624</v>
      </c>
      <c r="AA13" s="119"/>
      <c r="AB13" s="119"/>
      <c r="AC13" s="119"/>
      <c r="AD13" s="119"/>
      <c r="AE13" s="119"/>
      <c r="AF13" s="119"/>
      <c r="AG13" s="119"/>
      <c r="AH13" s="119"/>
    </row>
    <row r="14" spans="1:35" x14ac:dyDescent="0.25">
      <c r="G14">
        <v>7</v>
      </c>
      <c r="H14" s="55">
        <f t="shared" si="1"/>
        <v>87.482758620689651</v>
      </c>
      <c r="I14" s="50">
        <v>1311.1991113765134</v>
      </c>
      <c r="J14" s="50">
        <v>28.199230698750522</v>
      </c>
      <c r="K14" s="56">
        <v>0.45601897982823331</v>
      </c>
      <c r="L14">
        <v>1219.1174610091182</v>
      </c>
      <c r="M14">
        <v>48.881051159291196</v>
      </c>
      <c r="N14">
        <v>0.28535733616935149</v>
      </c>
      <c r="R14">
        <v>115.50221841584633</v>
      </c>
      <c r="S14">
        <v>109.37315443863801</v>
      </c>
      <c r="T14">
        <v>122.58199239794845</v>
      </c>
      <c r="U14">
        <v>0.35924720053477627</v>
      </c>
      <c r="V14">
        <v>0.31495938365728166</v>
      </c>
      <c r="W14">
        <v>0.40528252454525976</v>
      </c>
      <c r="X14">
        <v>34.276692322167229</v>
      </c>
      <c r="Y14">
        <v>37.860805129665707</v>
      </c>
      <c r="Z14">
        <v>31.980424815954191</v>
      </c>
      <c r="AA14" s="119"/>
      <c r="AB14" s="119"/>
      <c r="AC14" s="119"/>
      <c r="AD14" s="119"/>
      <c r="AE14" s="119"/>
      <c r="AF14" s="119"/>
      <c r="AG14" s="119"/>
      <c r="AH14" s="119"/>
    </row>
    <row r="15" spans="1:35" x14ac:dyDescent="0.25">
      <c r="G15">
        <v>8</v>
      </c>
      <c r="H15" s="55">
        <f t="shared" si="1"/>
        <v>101.89655172413792</v>
      </c>
      <c r="I15" s="50">
        <v>1283.3115788872694</v>
      </c>
      <c r="J15" s="50">
        <v>28.708653659523737</v>
      </c>
      <c r="K15" s="56">
        <v>0.50768213387365813</v>
      </c>
      <c r="L15">
        <v>1182.3005167188603</v>
      </c>
      <c r="M15">
        <v>49.960566214772264</v>
      </c>
      <c r="N15">
        <v>0.31584851864456687</v>
      </c>
      <c r="R15">
        <v>112.49760202035125</v>
      </c>
      <c r="S15">
        <v>106.19057256539341</v>
      </c>
      <c r="T15">
        <v>119.60139249633175</v>
      </c>
      <c r="U15">
        <v>0.39948214204946025</v>
      </c>
      <c r="V15">
        <v>0.34831084267499413</v>
      </c>
      <c r="W15">
        <v>0.45208179001009824</v>
      </c>
      <c r="X15">
        <v>34.970958814626663</v>
      </c>
      <c r="Y15">
        <v>38.715559090975731</v>
      </c>
      <c r="Z15">
        <v>32.588239491627583</v>
      </c>
    </row>
    <row r="16" spans="1:35" x14ac:dyDescent="0.25">
      <c r="B16" s="53" t="s">
        <v>179</v>
      </c>
      <c r="C16" s="203">
        <f>Htub_m_</f>
        <v>830</v>
      </c>
      <c r="D16" s="106" t="s">
        <v>38</v>
      </c>
      <c r="G16">
        <v>9</v>
      </c>
      <c r="H16" s="55">
        <f t="shared" si="1"/>
        <v>116.31034482758619</v>
      </c>
      <c r="I16" s="50">
        <v>1252.804417960007</v>
      </c>
      <c r="J16" s="50">
        <v>29.303304091183694</v>
      </c>
      <c r="K16" s="56">
        <v>0.55307992613953483</v>
      </c>
      <c r="L16">
        <v>1142.5708757730411</v>
      </c>
      <c r="M16">
        <v>51.171192212932503</v>
      </c>
      <c r="N16">
        <v>0.34203117448522374</v>
      </c>
      <c r="R16">
        <v>109.21685652622895</v>
      </c>
      <c r="S16">
        <v>102.71570634775148</v>
      </c>
      <c r="T16">
        <v>116.34095590667258</v>
      </c>
      <c r="U16">
        <v>0.4329892699558846</v>
      </c>
      <c r="V16">
        <v>0.37537873726777182</v>
      </c>
      <c r="W16">
        <v>0.49158104279011638</v>
      </c>
      <c r="X16">
        <v>35.756708859795239</v>
      </c>
      <c r="Y16">
        <v>39.663182530804896</v>
      </c>
      <c r="Z16">
        <v>33.283920850665453</v>
      </c>
    </row>
    <row r="17" spans="2:26" x14ac:dyDescent="0.25">
      <c r="G17">
        <v>10</v>
      </c>
      <c r="H17" s="55">
        <f t="shared" si="1"/>
        <v>130.72413793103448</v>
      </c>
      <c r="I17" s="50">
        <v>1219.399053952432</v>
      </c>
      <c r="J17" s="50">
        <v>29.952285848606643</v>
      </c>
      <c r="K17" s="56">
        <v>0.59248930419994972</v>
      </c>
      <c r="L17">
        <v>1099.7882774215025</v>
      </c>
      <c r="M17">
        <v>52.438248178439927</v>
      </c>
      <c r="N17">
        <v>0.36413418318082658</v>
      </c>
      <c r="R17">
        <v>105.64181664559482</v>
      </c>
      <c r="S17">
        <v>98.936812146940923</v>
      </c>
      <c r="T17">
        <v>112.77808308634886</v>
      </c>
      <c r="U17">
        <v>0.46008969845824005</v>
      </c>
      <c r="V17">
        <v>0.39659276697440216</v>
      </c>
      <c r="W17">
        <v>0.52403710161304473</v>
      </c>
      <c r="X17">
        <v>36.584921248556547</v>
      </c>
      <c r="Y17">
        <v>40.641031788617234</v>
      </c>
      <c r="Z17">
        <v>34.025176777220786</v>
      </c>
    </row>
    <row r="18" spans="2:26" x14ac:dyDescent="0.25">
      <c r="G18">
        <v>11</v>
      </c>
      <c r="H18" s="55">
        <f t="shared" si="1"/>
        <v>145.13793103448276</v>
      </c>
      <c r="I18" s="50">
        <v>1182.9761989191024</v>
      </c>
      <c r="J18" s="50">
        <v>30.622893107456409</v>
      </c>
      <c r="K18" s="56">
        <v>0.6262047055379184</v>
      </c>
      <c r="L18">
        <v>1046.4912668069258</v>
      </c>
      <c r="M18">
        <v>53.685398735663185</v>
      </c>
      <c r="N18">
        <v>0.38238614848378139</v>
      </c>
      <c r="R18">
        <v>101.77132227078434</v>
      </c>
      <c r="S18">
        <v>94.860037688191071</v>
      </c>
      <c r="T18">
        <v>108.90729212848962</v>
      </c>
      <c r="U18">
        <v>0.48133962351218917</v>
      </c>
      <c r="V18">
        <v>0.41257593281896277</v>
      </c>
      <c r="W18">
        <v>0.54997823712664096</v>
      </c>
      <c r="X18">
        <v>37.405519577618485</v>
      </c>
      <c r="Y18">
        <v>41.586132891938561</v>
      </c>
      <c r="Z18">
        <v>34.768289116716403</v>
      </c>
    </row>
    <row r="19" spans="2:26" x14ac:dyDescent="0.25">
      <c r="G19">
        <v>12</v>
      </c>
      <c r="H19" s="55">
        <f t="shared" si="1"/>
        <v>159.55172413793105</v>
      </c>
      <c r="I19" s="50">
        <v>1143.5481395575514</v>
      </c>
      <c r="J19" s="50">
        <v>31.281995948584981</v>
      </c>
      <c r="K19" s="56">
        <v>0.65451677567155109</v>
      </c>
      <c r="L19">
        <v>988.90817680095449</v>
      </c>
      <c r="M19">
        <v>54.838545062824913</v>
      </c>
      <c r="N19">
        <v>0.39699507033032022</v>
      </c>
      <c r="R19">
        <v>97.61744551274198</v>
      </c>
      <c r="S19">
        <v>90.504843740632268</v>
      </c>
      <c r="T19">
        <v>104.73602773586452</v>
      </c>
      <c r="U19">
        <v>0.49741525782267537</v>
      </c>
      <c r="V19">
        <v>0.42402513239448175</v>
      </c>
      <c r="W19">
        <v>0.57008438191183464</v>
      </c>
      <c r="X19">
        <v>38.169817784012814</v>
      </c>
      <c r="Y19">
        <v>42.438563250213178</v>
      </c>
      <c r="Z19">
        <v>35.470101949882562</v>
      </c>
    </row>
    <row r="20" spans="2:26" x14ac:dyDescent="0.25">
      <c r="B20" s="106" t="s">
        <v>356</v>
      </c>
      <c r="C20" s="203">
        <v>300</v>
      </c>
      <c r="D20" s="106" t="s">
        <v>199</v>
      </c>
      <c r="G20">
        <v>13</v>
      </c>
      <c r="H20" s="55">
        <f t="shared" si="1"/>
        <v>173.96551724137933</v>
      </c>
      <c r="I20" s="50">
        <v>1101.2310251544136</v>
      </c>
      <c r="J20" s="50">
        <v>31.897425942433181</v>
      </c>
      <c r="K20" s="56">
        <v>0.67769108628021713</v>
      </c>
      <c r="L20">
        <v>931.21873682918556</v>
      </c>
      <c r="M20">
        <v>55.829715846155167</v>
      </c>
      <c r="N20">
        <v>0.40812801676142701</v>
      </c>
      <c r="R20">
        <v>93.200451766804875</v>
      </c>
      <c r="S20">
        <v>85.839198469542822</v>
      </c>
      <c r="T20">
        <v>100.27761087871443</v>
      </c>
      <c r="U20">
        <v>0.50900503953078846</v>
      </c>
      <c r="V20">
        <v>0.43131271876032645</v>
      </c>
      <c r="W20">
        <v>0.58505955304702129</v>
      </c>
      <c r="X20">
        <v>38.832881647641713</v>
      </c>
      <c r="Y20">
        <v>43.144378304606832</v>
      </c>
      <c r="Z20">
        <v>36.089900435458183</v>
      </c>
    </row>
    <row r="21" spans="2:26" x14ac:dyDescent="0.25">
      <c r="G21">
        <v>14</v>
      </c>
      <c r="H21" s="55">
        <f t="shared" si="1"/>
        <v>188.37931034482762</v>
      </c>
      <c r="I21" s="50">
        <v>1056.217155531549</v>
      </c>
      <c r="J21" s="50">
        <v>32.439361733431262</v>
      </c>
      <c r="K21" s="56">
        <v>0.6959468533307116</v>
      </c>
      <c r="L21">
        <v>873.92497310683802</v>
      </c>
      <c r="M21">
        <v>56.600958234044668</v>
      </c>
      <c r="N21">
        <v>0.41589079584376187</v>
      </c>
      <c r="R21">
        <v>88.376219692968135</v>
      </c>
      <c r="S21">
        <v>80.585918945522039</v>
      </c>
      <c r="T21">
        <v>95.530886236341928</v>
      </c>
      <c r="U21">
        <v>0.51576295979444908</v>
      </c>
      <c r="V21">
        <v>0.43329493604741443</v>
      </c>
      <c r="W21">
        <v>0.59541987931096596</v>
      </c>
      <c r="X21">
        <v>39.354140764139721</v>
      </c>
      <c r="Y21">
        <v>43.657785668563989</v>
      </c>
      <c r="Z21">
        <v>36.591839659477969</v>
      </c>
    </row>
    <row r="22" spans="2:26" x14ac:dyDescent="0.25">
      <c r="G22">
        <v>15</v>
      </c>
      <c r="H22" s="55">
        <f t="shared" si="1"/>
        <v>202.7931034482759</v>
      </c>
      <c r="I22" s="50">
        <v>1008.7472689921658</v>
      </c>
      <c r="J22" s="50">
        <v>32.881714624399578</v>
      </c>
      <c r="K22" s="56">
        <v>0.70943565520341989</v>
      </c>
      <c r="L22">
        <v>815.46127407313293</v>
      </c>
      <c r="M22">
        <v>57.108228791198165</v>
      </c>
      <c r="N22">
        <v>0.42030762759058737</v>
      </c>
      <c r="R22">
        <v>83.235148662821302</v>
      </c>
      <c r="S22">
        <v>75.201421634691826</v>
      </c>
      <c r="T22">
        <v>90.418361393837827</v>
      </c>
      <c r="U22">
        <v>0.51835479418154184</v>
      </c>
      <c r="V22">
        <v>0.43236350119549316</v>
      </c>
      <c r="W22">
        <v>0.60101298217157029</v>
      </c>
      <c r="X22">
        <v>39.704197970550908</v>
      </c>
      <c r="Y22">
        <v>43.950686469865609</v>
      </c>
      <c r="Z22">
        <v>36.946049007449112</v>
      </c>
    </row>
    <row r="23" spans="2:26" x14ac:dyDescent="0.25">
      <c r="G23">
        <v>16</v>
      </c>
      <c r="H23" s="55">
        <f t="shared" si="1"/>
        <v>217.20689655172418</v>
      </c>
      <c r="I23" s="50">
        <v>959.08283026694778</v>
      </c>
      <c r="J23" s="50">
        <v>33.203514160949183</v>
      </c>
      <c r="K23" s="56">
        <v>0.71822015081848323</v>
      </c>
      <c r="L23">
        <v>756.18580000096404</v>
      </c>
      <c r="M23">
        <v>57.325284452787876</v>
      </c>
      <c r="N23">
        <v>0.42130081588269208</v>
      </c>
      <c r="R23">
        <v>77.956170933940939</v>
      </c>
      <c r="S23">
        <v>69.73603475955187</v>
      </c>
      <c r="T23">
        <v>85.131355409823556</v>
      </c>
      <c r="U23">
        <v>0.51792286105739216</v>
      </c>
      <c r="V23">
        <v>0.42885530697741248</v>
      </c>
      <c r="W23">
        <v>0.60316397785011633</v>
      </c>
      <c r="X23">
        <v>39.865089939157038</v>
      </c>
      <c r="Y23">
        <v>44.008332832371643</v>
      </c>
      <c r="Z23">
        <v>37.134022903286244</v>
      </c>
    </row>
    <row r="24" spans="2:26" x14ac:dyDescent="0.25">
      <c r="G24">
        <v>17</v>
      </c>
      <c r="H24" s="55">
        <f t="shared" si="1"/>
        <v>231.62068965517247</v>
      </c>
      <c r="I24" s="50">
        <v>907.47831846017618</v>
      </c>
      <c r="J24" s="50">
        <v>33.390293715882464</v>
      </c>
      <c r="K24" s="56">
        <v>0.72225279776196305</v>
      </c>
      <c r="L24">
        <v>696.38373979478058</v>
      </c>
      <c r="M24">
        <v>57.24757347860676</v>
      </c>
      <c r="N24">
        <v>0.41867042038931668</v>
      </c>
      <c r="R24">
        <v>72.599715991008438</v>
      </c>
      <c r="S24">
        <v>64.299505122176967</v>
      </c>
      <c r="T24">
        <v>79.692819928297212</v>
      </c>
      <c r="U24">
        <v>0.51482083747093532</v>
      </c>
      <c r="V24">
        <v>0.42330206373137674</v>
      </c>
      <c r="W24">
        <v>0.60201997716604028</v>
      </c>
      <c r="X24">
        <v>39.830683129505744</v>
      </c>
      <c r="Y24">
        <v>43.835468817592677</v>
      </c>
      <c r="Z24">
        <v>37.146455417545852</v>
      </c>
    </row>
    <row r="25" spans="2:26" x14ac:dyDescent="0.25">
      <c r="G25">
        <v>18</v>
      </c>
      <c r="H25" s="55">
        <f t="shared" si="1"/>
        <v>246.03448275862075</v>
      </c>
      <c r="I25" s="50">
        <v>854.15351499585699</v>
      </c>
      <c r="J25" s="50">
        <v>33.435476073593804</v>
      </c>
      <c r="K25" s="56">
        <v>0.72135457041200812</v>
      </c>
      <c r="L25">
        <v>636.23262833671288</v>
      </c>
      <c r="M25">
        <v>56.896126407221878</v>
      </c>
      <c r="N25">
        <v>0.41207392848907937</v>
      </c>
      <c r="R25">
        <v>67.187896690035231</v>
      </c>
      <c r="S25">
        <v>58.77672176159497</v>
      </c>
      <c r="T25">
        <v>74.075485831122606</v>
      </c>
      <c r="U25">
        <v>0.50894654728651778</v>
      </c>
      <c r="V25">
        <v>0.41456695207637528</v>
      </c>
      <c r="W25">
        <v>0.5976627925823168</v>
      </c>
      <c r="X25">
        <v>39.609610380984286</v>
      </c>
      <c r="Y25">
        <v>43.457995280585592</v>
      </c>
      <c r="Z25">
        <v>36.967636990929378</v>
      </c>
    </row>
    <row r="26" spans="2:26" x14ac:dyDescent="0.25">
      <c r="G26">
        <v>19</v>
      </c>
      <c r="H26" s="55">
        <f t="shared" si="1"/>
        <v>260.44827586206901</v>
      </c>
      <c r="I26" s="50">
        <v>799.26579156384093</v>
      </c>
      <c r="J26" s="50">
        <v>33.341759014470199</v>
      </c>
      <c r="K26" s="56">
        <v>0.71519367806501777</v>
      </c>
      <c r="L26">
        <v>575.77038413970934</v>
      </c>
      <c r="M26">
        <v>56.32144701012777</v>
      </c>
      <c r="N26">
        <v>0.40100592719090022</v>
      </c>
      <c r="R26">
        <v>61.658821720575204</v>
      </c>
      <c r="S26">
        <v>53.153582296165339</v>
      </c>
      <c r="T26">
        <v>68.28504644914878</v>
      </c>
      <c r="U26">
        <v>0.49933358421642965</v>
      </c>
      <c r="V26">
        <v>0.40176458683904409</v>
      </c>
      <c r="W26">
        <v>0.58911433424562076</v>
      </c>
      <c r="X26">
        <v>39.224893111845738</v>
      </c>
      <c r="Y26">
        <v>42.92722660664802</v>
      </c>
      <c r="Z26">
        <v>36.624051997759302</v>
      </c>
    </row>
    <row r="27" spans="2:26" x14ac:dyDescent="0.25">
      <c r="G27">
        <v>20</v>
      </c>
      <c r="H27" s="55">
        <f t="shared" si="1"/>
        <v>274.86206896551727</v>
      </c>
      <c r="I27" s="50">
        <v>742.88239806595402</v>
      </c>
      <c r="J27" s="50">
        <v>33.122500899291815</v>
      </c>
      <c r="K27" s="56">
        <v>0.70326428306180921</v>
      </c>
      <c r="L27">
        <v>514.86606730766721</v>
      </c>
      <c r="M27">
        <v>55.607403245899761</v>
      </c>
      <c r="N27">
        <v>0.38477777505492566</v>
      </c>
      <c r="R27">
        <v>55.99213238195162</v>
      </c>
      <c r="S27">
        <v>47.413500971476168</v>
      </c>
      <c r="T27">
        <v>62.335524804098753</v>
      </c>
      <c r="U27">
        <v>0.48488719200744224</v>
      </c>
      <c r="V27">
        <v>0.38358342942488699</v>
      </c>
      <c r="W27">
        <v>0.57511633340514812</v>
      </c>
      <c r="X27">
        <v>38.71987334412654</v>
      </c>
      <c r="Y27">
        <v>42.324380559072175</v>
      </c>
      <c r="Z27">
        <v>36.160941132405441</v>
      </c>
    </row>
    <row r="28" spans="2:26" x14ac:dyDescent="0.25">
      <c r="G28">
        <v>21</v>
      </c>
      <c r="H28" s="55">
        <f t="shared" si="1"/>
        <v>289.27586206896552</v>
      </c>
      <c r="I28" s="50">
        <v>684.95275056211574</v>
      </c>
      <c r="J28" s="50">
        <v>32.803106253632805</v>
      </c>
      <c r="K28" s="56">
        <v>0.68486521891378072</v>
      </c>
      <c r="L28">
        <v>453.19335780257569</v>
      </c>
      <c r="M28">
        <v>54.875118214347289</v>
      </c>
      <c r="N28">
        <v>0.36249727411345584</v>
      </c>
      <c r="R28">
        <v>50.179063819183895</v>
      </c>
      <c r="S28">
        <v>41.510650820728785</v>
      </c>
      <c r="T28">
        <v>56.03310355723842</v>
      </c>
      <c r="U28">
        <v>0.46404846781995651</v>
      </c>
      <c r="V28">
        <v>0.35817640421777186</v>
      </c>
      <c r="W28">
        <v>0.55318655353454227</v>
      </c>
      <c r="X28">
        <v>38.167293712290231</v>
      </c>
      <c r="Y28">
        <v>41.762242839901845</v>
      </c>
      <c r="Z28">
        <v>35.601418786243592</v>
      </c>
    </row>
    <row r="29" spans="2:26" x14ac:dyDescent="0.25">
      <c r="G29">
        <v>22</v>
      </c>
      <c r="H29" s="55">
        <f t="shared" si="1"/>
        <v>303.68965517241378</v>
      </c>
      <c r="I29" s="50">
        <v>625.28071921646654</v>
      </c>
      <c r="J29" s="50">
        <v>32.422411352261761</v>
      </c>
      <c r="K29" s="56">
        <v>0.65907870842907912</v>
      </c>
      <c r="L29">
        <v>390.20675401865321</v>
      </c>
      <c r="M29">
        <v>54.286861110667289</v>
      </c>
      <c r="N29">
        <v>0.3330483417918676</v>
      </c>
      <c r="R29">
        <v>44.147139356118274</v>
      </c>
      <c r="S29">
        <v>35.356502689389458</v>
      </c>
      <c r="T29">
        <v>49.207589343777954</v>
      </c>
      <c r="U29">
        <v>0.43454369825550732</v>
      </c>
      <c r="V29">
        <v>0.3231753595889858</v>
      </c>
      <c r="W29">
        <v>0.51895116494796822</v>
      </c>
      <c r="X29">
        <v>37.656555765476369</v>
      </c>
      <c r="Y29">
        <v>41.387664997267564</v>
      </c>
      <c r="Z29">
        <v>35.029494006237627</v>
      </c>
    </row>
    <row r="35" spans="14:14" x14ac:dyDescent="0.25">
      <c r="N35" s="16"/>
    </row>
  </sheetData>
  <mergeCells count="11">
    <mergeCell ref="AA5:AC5"/>
    <mergeCell ref="AA7:AC7"/>
    <mergeCell ref="AA4:AC4"/>
    <mergeCell ref="X7:Z7"/>
    <mergeCell ref="R4:Z4"/>
    <mergeCell ref="R5:Z5"/>
    <mergeCell ref="U7:W7"/>
    <mergeCell ref="R7:T7"/>
    <mergeCell ref="I6:K6"/>
    <mergeCell ref="L6:N6"/>
    <mergeCell ref="I5:N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J1539"/>
  <sheetViews>
    <sheetView tabSelected="1" topLeftCell="A43" zoomScale="60" zoomScaleNormal="60" workbookViewId="0">
      <selection activeCell="AT30" sqref="AT30"/>
    </sheetView>
  </sheetViews>
  <sheetFormatPr defaultRowHeight="15" x14ac:dyDescent="0.25"/>
  <cols>
    <col min="13" max="13" width="21.42578125" bestFit="1" customWidth="1"/>
    <col min="14" max="14" width="10.7109375" bestFit="1" customWidth="1"/>
    <col min="15" max="15" width="12.5703125" bestFit="1" customWidth="1"/>
    <col min="16" max="16" width="12.7109375" bestFit="1" customWidth="1"/>
    <col min="17" max="17" width="25.42578125" customWidth="1"/>
    <col min="19" max="19" width="14.42578125" customWidth="1"/>
    <col min="21" max="21" width="7.140625" customWidth="1"/>
    <col min="22" max="22" width="28.7109375" customWidth="1"/>
    <col min="23" max="23" width="11.28515625" bestFit="1" customWidth="1"/>
    <col min="25" max="25" width="33.7109375" bestFit="1" customWidth="1"/>
    <col min="26" max="26" width="13.7109375" bestFit="1" customWidth="1"/>
    <col min="27" max="27" width="10" bestFit="1" customWidth="1"/>
    <col min="28" max="28" width="17.85546875" customWidth="1"/>
    <col min="29" max="29" width="14.42578125" customWidth="1"/>
    <col min="30" max="30" width="15.28515625" customWidth="1"/>
    <col min="31" max="31" width="14.140625" customWidth="1"/>
    <col min="32" max="32" width="12.5703125" bestFit="1" customWidth="1"/>
    <col min="33" max="33" width="12.5703125" customWidth="1"/>
    <col min="34" max="34" width="14" customWidth="1"/>
    <col min="35" max="35" width="13.28515625" bestFit="1" customWidth="1"/>
    <col min="59" max="59" width="15.140625" bestFit="1" customWidth="1"/>
    <col min="60" max="61" width="15.42578125" bestFit="1" customWidth="1"/>
    <col min="62" max="62" width="15.42578125" customWidth="1"/>
  </cols>
  <sheetData>
    <row r="1" spans="1:62" ht="16.5" thickBot="1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172" t="s">
        <v>205</v>
      </c>
      <c r="M1" s="174"/>
      <c r="N1" s="171">
        <f>AU4-1</f>
        <v>1</v>
      </c>
      <c r="O1" s="135"/>
      <c r="P1" s="114" t="s">
        <v>225</v>
      </c>
      <c r="Q1" s="115"/>
      <c r="R1" s="115"/>
      <c r="S1" s="115"/>
      <c r="T1" s="115"/>
      <c r="U1" s="117"/>
      <c r="V1" s="116" t="s">
        <v>224</v>
      </c>
      <c r="W1" s="112"/>
      <c r="X1" s="112"/>
      <c r="Y1" s="112"/>
      <c r="Z1" s="112"/>
      <c r="AA1" s="113"/>
      <c r="AB1" s="114" t="s">
        <v>315</v>
      </c>
      <c r="AC1" s="117"/>
      <c r="AD1" s="192"/>
      <c r="AE1" s="192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2" ht="16.5" thickBot="1" x14ac:dyDescent="0.3">
      <c r="A2" s="59" t="str">
        <f>версия_</f>
        <v>вер 7.5</v>
      </c>
      <c r="B2" s="59"/>
      <c r="C2" s="59"/>
      <c r="D2" s="59"/>
      <c r="E2" s="59"/>
      <c r="F2" s="59"/>
      <c r="G2" s="59"/>
      <c r="H2" s="59"/>
      <c r="I2" s="59"/>
      <c r="J2" s="59"/>
      <c r="K2" s="59"/>
      <c r="M2" s="169"/>
      <c r="N2" s="169"/>
      <c r="O2" s="135"/>
      <c r="P2" s="87"/>
      <c r="Q2" s="72" t="s">
        <v>336</v>
      </c>
      <c r="R2" s="72"/>
      <c r="S2" s="72"/>
      <c r="T2" s="72"/>
      <c r="U2" s="84"/>
      <c r="V2" s="72" t="s">
        <v>313</v>
      </c>
      <c r="W2" s="72"/>
      <c r="X2" s="72"/>
      <c r="Y2" s="72"/>
      <c r="Z2" s="72"/>
      <c r="AA2" s="72"/>
      <c r="AB2" s="145"/>
      <c r="AC2" s="146"/>
      <c r="AD2" s="135"/>
      <c r="AE2" s="135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</row>
    <row r="3" spans="1:62" ht="16.5" thickBot="1" x14ac:dyDescent="0.3">
      <c r="A3" s="59"/>
      <c r="C3" s="172" t="s">
        <v>132</v>
      </c>
      <c r="D3" s="173"/>
      <c r="E3" s="171">
        <f>AK4-1</f>
        <v>0</v>
      </c>
      <c r="G3" s="172" t="s">
        <v>133</v>
      </c>
      <c r="H3" s="173"/>
      <c r="I3" s="174"/>
      <c r="J3" s="171">
        <f>AO4-1</f>
        <v>0</v>
      </c>
      <c r="L3" s="172" t="s">
        <v>134</v>
      </c>
      <c r="M3" s="174"/>
      <c r="N3" s="171">
        <f>AG4-1</f>
        <v>2</v>
      </c>
      <c r="O3" s="135"/>
      <c r="P3" s="85"/>
      <c r="Q3" s="83" t="s">
        <v>310</v>
      </c>
      <c r="R3" s="68"/>
      <c r="S3" s="68"/>
      <c r="T3" s="72"/>
      <c r="U3" s="84"/>
      <c r="V3" s="72" t="s">
        <v>312</v>
      </c>
      <c r="W3" s="72"/>
      <c r="X3" s="72"/>
      <c r="Y3" s="72"/>
      <c r="Z3" s="155" t="s">
        <v>339</v>
      </c>
      <c r="AA3" s="72"/>
      <c r="AB3" s="149"/>
      <c r="AC3" s="150"/>
      <c r="AD3" s="135"/>
      <c r="AE3" s="135"/>
      <c r="AF3" s="59"/>
      <c r="AG3" s="59" t="s">
        <v>145</v>
      </c>
      <c r="AH3" s="59"/>
      <c r="AI3" s="59"/>
      <c r="AJ3" s="59"/>
      <c r="AK3" s="59"/>
      <c r="AL3" s="59" t="s">
        <v>143</v>
      </c>
      <c r="AM3" s="59"/>
      <c r="AN3" s="59"/>
      <c r="AO3" s="59"/>
      <c r="AP3" s="59" t="s">
        <v>144</v>
      </c>
      <c r="AQ3" s="59"/>
      <c r="AR3" s="59"/>
      <c r="AS3" s="59"/>
      <c r="AT3" s="59"/>
      <c r="AU3" s="59"/>
      <c r="AV3" s="59" t="s">
        <v>350</v>
      </c>
      <c r="AW3" s="59"/>
      <c r="AX3" s="59"/>
      <c r="AY3" s="59"/>
      <c r="AZ3" s="59"/>
    </row>
    <row r="4" spans="1:62" ht="19.5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135"/>
      <c r="O4" s="135"/>
      <c r="P4" s="86"/>
      <c r="Q4" s="83" t="s">
        <v>311</v>
      </c>
      <c r="R4" s="68"/>
      <c r="S4" s="68"/>
      <c r="T4" s="68"/>
      <c r="U4" s="175"/>
      <c r="V4" s="62" t="s">
        <v>228</v>
      </c>
      <c r="W4" s="69">
        <v>0.89</v>
      </c>
      <c r="X4" s="63" t="s">
        <v>229</v>
      </c>
      <c r="Y4" s="66" t="s">
        <v>212</v>
      </c>
      <c r="Z4" s="93">
        <v>82.09</v>
      </c>
      <c r="AA4" s="66" t="s">
        <v>180</v>
      </c>
      <c r="AB4" s="151" t="s">
        <v>334</v>
      </c>
      <c r="AC4" s="152" t="s">
        <v>335</v>
      </c>
      <c r="AD4" s="125"/>
      <c r="AE4" s="125"/>
      <c r="AF4" s="59"/>
      <c r="AG4" s="59">
        <v>3</v>
      </c>
      <c r="AH4" s="59" t="s">
        <v>152</v>
      </c>
      <c r="AI4" s="59"/>
      <c r="AJ4" s="59"/>
      <c r="AK4" s="59">
        <v>1</v>
      </c>
      <c r="AL4" s="59" t="s">
        <v>135</v>
      </c>
      <c r="AM4" s="59"/>
      <c r="AN4" s="59"/>
      <c r="AO4" s="59">
        <v>1</v>
      </c>
      <c r="AP4" s="59" t="s">
        <v>137</v>
      </c>
      <c r="AQ4" s="59"/>
      <c r="AR4" s="59"/>
      <c r="AS4" s="59"/>
      <c r="AT4" s="59"/>
      <c r="AU4" s="59">
        <v>2</v>
      </c>
      <c r="AV4" s="59" t="s">
        <v>349</v>
      </c>
      <c r="AW4" s="59"/>
      <c r="AX4" s="59"/>
      <c r="AY4" s="59"/>
      <c r="AZ4" s="59"/>
      <c r="BG4" s="101"/>
      <c r="BH4" s="101"/>
      <c r="BI4" s="101"/>
      <c r="BJ4" s="101"/>
    </row>
    <row r="5" spans="1:62" ht="19.5" thickBot="1" x14ac:dyDescent="0.3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35"/>
      <c r="O5" s="135"/>
      <c r="P5" s="73" t="s">
        <v>318</v>
      </c>
      <c r="Q5" s="94">
        <v>32</v>
      </c>
      <c r="R5" s="156" t="s">
        <v>44</v>
      </c>
      <c r="S5" s="73" t="s">
        <v>331</v>
      </c>
      <c r="T5" s="74">
        <v>0.11</v>
      </c>
      <c r="U5" s="89" t="s">
        <v>208</v>
      </c>
      <c r="V5" s="75" t="s">
        <v>222</v>
      </c>
      <c r="W5" s="76">
        <v>64</v>
      </c>
      <c r="X5" s="157" t="s">
        <v>217</v>
      </c>
      <c r="Y5" s="67" t="s">
        <v>226</v>
      </c>
      <c r="Z5" s="77">
        <v>74.654556251796834</v>
      </c>
      <c r="AA5" s="67" t="s">
        <v>180</v>
      </c>
      <c r="AB5" s="143" t="s">
        <v>319</v>
      </c>
      <c r="AC5" s="196">
        <f>ABS((Pline_atma_-Pline_out_atma_)/Pline_atma_)</f>
        <v>3.1963573966192385E-2</v>
      </c>
      <c r="AD5" s="190"/>
      <c r="AE5" s="190"/>
      <c r="AF5" s="59"/>
      <c r="AG5" s="59"/>
      <c r="AH5" s="59" t="s">
        <v>161</v>
      </c>
      <c r="AI5" s="59"/>
      <c r="AJ5" s="59"/>
      <c r="AK5" s="59"/>
      <c r="AL5" s="59" t="s">
        <v>136</v>
      </c>
      <c r="AM5" s="59"/>
      <c r="AN5" s="59"/>
      <c r="AO5" s="59"/>
      <c r="AP5" s="59" t="s">
        <v>138</v>
      </c>
      <c r="AQ5" s="59"/>
      <c r="AR5" s="59"/>
      <c r="AS5" s="59"/>
      <c r="AT5" s="59"/>
      <c r="AU5" s="59"/>
      <c r="AV5" s="59" t="s">
        <v>351</v>
      </c>
      <c r="AW5" s="59"/>
      <c r="AX5" s="59"/>
      <c r="AY5" s="59"/>
      <c r="AZ5" s="59"/>
      <c r="BG5" s="101"/>
      <c r="BH5" s="101"/>
      <c r="BI5" s="101"/>
      <c r="BJ5" s="101"/>
    </row>
    <row r="6" spans="1:62" ht="18.75" x14ac:dyDescent="0.3">
      <c r="A6" s="59"/>
      <c r="B6" s="176" t="s">
        <v>151</v>
      </c>
      <c r="C6" s="99"/>
      <c r="D6" s="100"/>
      <c r="E6" s="59"/>
      <c r="F6" s="59"/>
      <c r="G6" s="176" t="s">
        <v>147</v>
      </c>
      <c r="H6" s="99"/>
      <c r="I6" s="100"/>
      <c r="J6" s="59"/>
      <c r="K6" s="59"/>
      <c r="L6" s="184" t="s">
        <v>48</v>
      </c>
      <c r="M6" s="147"/>
      <c r="N6" s="148"/>
      <c r="O6" s="59"/>
      <c r="P6" s="71" t="s">
        <v>319</v>
      </c>
      <c r="Q6" s="95">
        <v>21.6</v>
      </c>
      <c r="R6" s="67" t="s">
        <v>44</v>
      </c>
      <c r="S6" s="71" t="s">
        <v>332</v>
      </c>
      <c r="T6" s="61">
        <v>0.11</v>
      </c>
      <c r="U6" s="64" t="s">
        <v>208</v>
      </c>
      <c r="V6" s="71" t="s">
        <v>215</v>
      </c>
      <c r="W6" s="61">
        <f>Power_motor_nom_kWt_</f>
        <v>140</v>
      </c>
      <c r="X6" s="64" t="s">
        <v>180</v>
      </c>
      <c r="Y6" s="67" t="s">
        <v>209</v>
      </c>
      <c r="Z6" s="77">
        <v>11.353381088619651</v>
      </c>
      <c r="AA6" s="67" t="s">
        <v>180</v>
      </c>
      <c r="AB6" s="143" t="s">
        <v>320</v>
      </c>
      <c r="AC6" s="197">
        <f>ABS((Pbuf_atma_-Pbuf_out_atma_)/Pbuf_atma_)</f>
        <v>6.3647718361614569E-3</v>
      </c>
      <c r="AD6" s="190"/>
      <c r="AE6" s="190"/>
      <c r="AF6" s="59"/>
      <c r="AG6" s="59"/>
      <c r="AH6" s="59" t="s">
        <v>146</v>
      </c>
      <c r="AI6" s="59"/>
      <c r="AJ6" s="59"/>
      <c r="AK6" s="59"/>
      <c r="AL6" s="59"/>
      <c r="AM6" s="59"/>
      <c r="AN6" s="59"/>
      <c r="AO6" s="59"/>
      <c r="AP6" s="59" t="s">
        <v>139</v>
      </c>
      <c r="AQ6" s="59"/>
      <c r="AR6" s="59"/>
      <c r="AS6" s="59"/>
      <c r="AT6" s="59"/>
      <c r="AU6" s="59"/>
      <c r="AV6" s="59"/>
      <c r="AW6" s="59"/>
      <c r="AX6" s="59"/>
      <c r="AY6" s="59"/>
      <c r="AZ6" s="59"/>
      <c r="BG6" s="101"/>
      <c r="BH6" s="101"/>
      <c r="BI6" s="101"/>
      <c r="BJ6" s="101"/>
    </row>
    <row r="7" spans="1:62" ht="19.5" x14ac:dyDescent="0.35">
      <c r="A7" s="59"/>
      <c r="B7" s="177" t="s">
        <v>32</v>
      </c>
      <c r="C7" s="187">
        <v>120.48</v>
      </c>
      <c r="D7" s="178" t="s">
        <v>33</v>
      </c>
      <c r="E7" s="59"/>
      <c r="F7" s="59"/>
      <c r="G7" s="182" t="s">
        <v>149</v>
      </c>
      <c r="H7" s="187">
        <v>1.1000000000000001</v>
      </c>
      <c r="I7" s="178"/>
      <c r="J7" s="59"/>
      <c r="K7" s="59"/>
      <c r="L7" s="185" t="s">
        <v>148</v>
      </c>
      <c r="M7" s="187">
        <v>16</v>
      </c>
      <c r="N7" s="107" t="s">
        <v>25</v>
      </c>
      <c r="O7" s="59"/>
      <c r="P7" s="71" t="s">
        <v>320</v>
      </c>
      <c r="Q7" s="95">
        <v>27</v>
      </c>
      <c r="R7" s="67" t="s">
        <v>44</v>
      </c>
      <c r="S7" s="71" t="s">
        <v>333</v>
      </c>
      <c r="T7" s="61">
        <v>0.1</v>
      </c>
      <c r="U7" s="64" t="s">
        <v>208</v>
      </c>
      <c r="V7" s="71" t="s">
        <v>216</v>
      </c>
      <c r="W7" s="79">
        <v>42.94</v>
      </c>
      <c r="X7" s="64" t="s">
        <v>217</v>
      </c>
      <c r="Y7" s="67" t="s">
        <v>305</v>
      </c>
      <c r="Z7" s="77">
        <v>0.4</v>
      </c>
      <c r="AA7" s="67" t="s">
        <v>180</v>
      </c>
      <c r="AB7" s="143" t="s">
        <v>318</v>
      </c>
      <c r="AC7" s="197">
        <f>ABS((Q5-Pint_atma)/Q5)</f>
        <v>5.2884615497248988E-2</v>
      </c>
      <c r="AD7" s="190"/>
      <c r="AE7" s="190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 t="s">
        <v>140</v>
      </c>
      <c r="AQ7" s="59"/>
      <c r="AR7" s="59"/>
      <c r="AS7" s="59"/>
      <c r="AT7" s="59"/>
      <c r="AU7" s="59"/>
      <c r="AV7" s="59"/>
      <c r="AW7" s="59"/>
      <c r="AX7" s="59"/>
      <c r="AY7" s="59"/>
      <c r="AZ7" s="59"/>
      <c r="BG7" s="101"/>
      <c r="BH7" s="101"/>
      <c r="BI7" s="101"/>
      <c r="BJ7" s="101"/>
    </row>
    <row r="8" spans="1:62" ht="20.25" thickBot="1" x14ac:dyDescent="0.4">
      <c r="A8" s="59"/>
      <c r="B8" s="179" t="s">
        <v>19</v>
      </c>
      <c r="C8" s="187">
        <v>19.48</v>
      </c>
      <c r="D8" s="178" t="s">
        <v>9</v>
      </c>
      <c r="E8" s="59"/>
      <c r="F8" s="59"/>
      <c r="G8" s="183" t="s">
        <v>150</v>
      </c>
      <c r="H8" s="187">
        <v>0.9</v>
      </c>
      <c r="I8" s="181"/>
      <c r="J8" s="59"/>
      <c r="K8" s="59"/>
      <c r="L8" s="186" t="s">
        <v>50</v>
      </c>
      <c r="M8" s="187">
        <v>22</v>
      </c>
      <c r="N8" s="108" t="s">
        <v>25</v>
      </c>
      <c r="O8" s="59"/>
      <c r="P8" s="71" t="s">
        <v>321</v>
      </c>
      <c r="Q8" s="95">
        <v>39</v>
      </c>
      <c r="R8" s="67" t="s">
        <v>44</v>
      </c>
      <c r="S8" s="78" t="s">
        <v>340</v>
      </c>
      <c r="T8" s="159">
        <v>0</v>
      </c>
      <c r="U8" s="65" t="s">
        <v>208</v>
      </c>
      <c r="V8" s="71" t="s">
        <v>218</v>
      </c>
      <c r="W8" s="61">
        <v>0.71199999999999997</v>
      </c>
      <c r="X8" s="64" t="s">
        <v>219</v>
      </c>
      <c r="Y8" s="67" t="s">
        <v>306</v>
      </c>
      <c r="Z8" s="77">
        <v>0.5</v>
      </c>
      <c r="AA8" s="67" t="s">
        <v>180</v>
      </c>
      <c r="AB8" s="143" t="s">
        <v>321</v>
      </c>
      <c r="AC8" s="197">
        <f>ABS((Pwf_atma_-Pwf_out_atma_)/Pwf_atma_)</f>
        <v>0</v>
      </c>
      <c r="AD8" s="190"/>
      <c r="AE8" s="190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 t="s">
        <v>141</v>
      </c>
      <c r="AQ8" s="59"/>
      <c r="AR8" s="59"/>
      <c r="AS8" s="59"/>
      <c r="AT8" s="59"/>
      <c r="AU8" s="59"/>
      <c r="AV8" s="59"/>
      <c r="AW8" s="59"/>
      <c r="AX8" s="59"/>
      <c r="AY8" s="59"/>
      <c r="AZ8" s="59"/>
      <c r="BG8" s="101"/>
      <c r="BH8" s="101"/>
      <c r="BI8" s="101"/>
      <c r="BJ8" s="101"/>
    </row>
    <row r="9" spans="1:62" ht="18.75" thickBot="1" x14ac:dyDescent="0.3">
      <c r="A9" s="59"/>
      <c r="B9" s="177" t="s">
        <v>34</v>
      </c>
      <c r="C9" s="188" t="s">
        <v>55</v>
      </c>
      <c r="D9" s="178" t="s">
        <v>35</v>
      </c>
      <c r="E9" s="59"/>
      <c r="F9" s="59"/>
      <c r="G9" s="59"/>
      <c r="H9" s="59"/>
      <c r="I9" s="135"/>
      <c r="J9" s="135"/>
      <c r="K9" s="135"/>
      <c r="L9" s="135"/>
      <c r="M9" s="135"/>
      <c r="N9" s="59"/>
      <c r="O9" s="59"/>
      <c r="P9" s="71" t="s">
        <v>322</v>
      </c>
      <c r="Q9" s="95">
        <v>25</v>
      </c>
      <c r="R9" s="64" t="s">
        <v>44</v>
      </c>
      <c r="S9" s="67"/>
      <c r="T9" s="80"/>
      <c r="U9" s="64"/>
      <c r="V9" s="71" t="s">
        <v>220</v>
      </c>
      <c r="W9" s="79">
        <v>0.55000000000000004</v>
      </c>
      <c r="X9" s="64" t="s">
        <v>208</v>
      </c>
      <c r="Y9" s="67" t="s">
        <v>210</v>
      </c>
      <c r="Z9" s="77">
        <v>75.554556251796839</v>
      </c>
      <c r="AA9" s="67" t="s">
        <v>180</v>
      </c>
      <c r="AB9" s="153" t="s">
        <v>216</v>
      </c>
      <c r="AC9" s="197">
        <f>ABS((W7-I_out_A)/W7)</f>
        <v>3.6951637570719405E-2</v>
      </c>
      <c r="AD9" s="190"/>
      <c r="AE9" s="190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 t="s">
        <v>142</v>
      </c>
      <c r="AQ9" s="59"/>
      <c r="AR9" s="59"/>
      <c r="AS9" s="59"/>
      <c r="AT9" s="59"/>
      <c r="AU9" s="59"/>
      <c r="AV9" s="59"/>
      <c r="AW9" s="59"/>
      <c r="AX9" s="59"/>
      <c r="AY9" s="59"/>
      <c r="AZ9" s="59"/>
    </row>
    <row r="10" spans="1:62" ht="18" x14ac:dyDescent="0.25">
      <c r="A10" s="59"/>
      <c r="B10" s="177" t="s">
        <v>18</v>
      </c>
      <c r="C10" s="187">
        <v>27.58</v>
      </c>
      <c r="D10" s="178" t="s">
        <v>17</v>
      </c>
      <c r="E10" s="59"/>
      <c r="F10" s="59"/>
      <c r="G10" s="59"/>
      <c r="H10" s="59"/>
      <c r="I10" s="135"/>
      <c r="J10" s="135"/>
      <c r="K10" s="135"/>
      <c r="L10" s="135"/>
      <c r="M10" s="135"/>
      <c r="N10" s="59"/>
      <c r="O10" s="59"/>
      <c r="P10" s="71" t="s">
        <v>323</v>
      </c>
      <c r="Q10" s="96">
        <f>P_dis_atma-Pint_atma</f>
        <v>77.231666797726973</v>
      </c>
      <c r="R10" s="64" t="s">
        <v>44</v>
      </c>
      <c r="S10" s="73" t="s">
        <v>330</v>
      </c>
      <c r="T10" s="91">
        <f>Tdis_C-Tint_C</f>
        <v>20.804308369006201</v>
      </c>
      <c r="U10" s="89" t="s">
        <v>316</v>
      </c>
      <c r="V10" s="71" t="s">
        <v>227</v>
      </c>
      <c r="W10" s="61">
        <v>1546</v>
      </c>
      <c r="X10" s="64" t="s">
        <v>221</v>
      </c>
      <c r="Y10" s="67" t="s">
        <v>317</v>
      </c>
      <c r="Z10" s="77">
        <v>84.892759833479587</v>
      </c>
      <c r="AA10" s="67" t="s">
        <v>180</v>
      </c>
      <c r="AB10" s="143" t="s">
        <v>220</v>
      </c>
      <c r="AC10" s="198">
        <f>ABS((W9-Load_fr_out)/W9)</f>
        <v>1.1970529938333755E-2</v>
      </c>
      <c r="AD10" s="191"/>
      <c r="AE10" s="191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</row>
    <row r="11" spans="1:62" ht="19.5" thickBot="1" x14ac:dyDescent="0.35">
      <c r="A11" s="59"/>
      <c r="B11" s="180" t="s">
        <v>18</v>
      </c>
      <c r="C11" s="189">
        <f>Rp_m3m3_/PVT!gamma_oil_</f>
        <v>29.185185185185183</v>
      </c>
      <c r="D11" s="181" t="s">
        <v>36</v>
      </c>
      <c r="E11" s="59"/>
      <c r="F11" s="59"/>
      <c r="G11" s="59"/>
      <c r="H11" s="59"/>
      <c r="I11" s="135"/>
      <c r="J11" s="135"/>
      <c r="K11" s="135"/>
      <c r="L11" s="135"/>
      <c r="M11" s="135"/>
      <c r="N11" s="59"/>
      <c r="O11" s="59"/>
      <c r="P11" s="71" t="s">
        <v>319</v>
      </c>
      <c r="Q11" s="96">
        <v>20.909586802330246</v>
      </c>
      <c r="R11" s="64" t="s">
        <v>44</v>
      </c>
      <c r="S11" s="71" t="s">
        <v>325</v>
      </c>
      <c r="T11" s="88">
        <v>22.529268365778066</v>
      </c>
      <c r="U11" s="64" t="s">
        <v>316</v>
      </c>
      <c r="V11" s="71" t="s">
        <v>206</v>
      </c>
      <c r="W11" s="81">
        <v>0.15207887714618076</v>
      </c>
      <c r="X11" s="64" t="s">
        <v>208</v>
      </c>
      <c r="Y11" s="67" t="s">
        <v>307</v>
      </c>
      <c r="Z11" s="77">
        <v>4.1476531567717663</v>
      </c>
      <c r="AA11" s="67" t="s">
        <v>180</v>
      </c>
      <c r="AB11" s="154" t="s">
        <v>212</v>
      </c>
      <c r="AC11" s="199">
        <f>ABS(Z4-Power_CS_out)/Z4</f>
        <v>3.7518742648838872E-2</v>
      </c>
      <c r="AD11" s="191"/>
      <c r="AE11" s="191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</row>
    <row r="12" spans="1:62" ht="16.5" thickBot="1" x14ac:dyDescent="0.3">
      <c r="A12" s="59"/>
      <c r="B12" s="59"/>
      <c r="C12" s="59"/>
      <c r="D12" s="59"/>
      <c r="E12" s="59"/>
      <c r="F12" s="59"/>
      <c r="G12" s="59"/>
      <c r="H12" s="59"/>
      <c r="I12" s="135"/>
      <c r="J12" s="135"/>
      <c r="K12" s="135"/>
      <c r="L12" s="135"/>
      <c r="M12" s="135"/>
      <c r="N12" s="59"/>
      <c r="O12" s="59"/>
      <c r="P12" s="71" t="s">
        <v>320</v>
      </c>
      <c r="Q12" s="96">
        <v>27.171848839576359</v>
      </c>
      <c r="R12" s="64" t="s">
        <v>44</v>
      </c>
      <c r="S12" s="71" t="s">
        <v>326</v>
      </c>
      <c r="T12" s="88">
        <v>22.529268365778066</v>
      </c>
      <c r="U12" s="64" t="s">
        <v>316</v>
      </c>
      <c r="V12" s="71" t="s">
        <v>207</v>
      </c>
      <c r="W12" s="81">
        <v>0.11997244742622429</v>
      </c>
      <c r="X12" s="64" t="s">
        <v>208</v>
      </c>
      <c r="Y12" s="67" t="s">
        <v>211</v>
      </c>
      <c r="Z12" s="77">
        <v>89.040412990251355</v>
      </c>
      <c r="AA12" s="67" t="s">
        <v>180</v>
      </c>
      <c r="AB12" s="142" t="s">
        <v>338</v>
      </c>
      <c r="AC12" s="200">
        <f>IF(AC8&lt;&gt;0,(SUM(AC5:AC11) -AC5)/6,(SUM(AC5:AC11) -AC8)/6)</f>
        <v>2.960897857624914E-2</v>
      </c>
      <c r="AD12" s="191"/>
      <c r="AE12" s="191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</row>
    <row r="13" spans="1:62" ht="15.75" x14ac:dyDescent="0.25">
      <c r="A13" s="59"/>
      <c r="B13" s="59"/>
      <c r="C13" s="59"/>
      <c r="D13" s="59"/>
      <c r="E13" s="59"/>
      <c r="F13" s="59"/>
      <c r="G13" s="59"/>
      <c r="H13" s="59"/>
      <c r="I13" s="135"/>
      <c r="J13" s="135"/>
      <c r="K13" s="135"/>
      <c r="L13" s="135"/>
      <c r="M13" s="135"/>
      <c r="N13" s="59"/>
      <c r="O13" s="59"/>
      <c r="P13" s="71" t="s">
        <v>321</v>
      </c>
      <c r="Q13" s="96">
        <v>39</v>
      </c>
      <c r="R13" s="64" t="s">
        <v>44</v>
      </c>
      <c r="S13" s="71" t="s">
        <v>327</v>
      </c>
      <c r="T13" s="88">
        <v>16</v>
      </c>
      <c r="U13" s="64" t="s">
        <v>316</v>
      </c>
      <c r="V13" s="71" t="s">
        <v>214</v>
      </c>
      <c r="W13" s="81">
        <v>44.526703317286689</v>
      </c>
      <c r="X13" s="64" t="s">
        <v>213</v>
      </c>
      <c r="Y13" s="67" t="s">
        <v>308</v>
      </c>
      <c r="Z13" s="77">
        <v>2.7538272058840647</v>
      </c>
      <c r="AA13" s="67" t="s">
        <v>180</v>
      </c>
      <c r="AB13" s="142"/>
      <c r="AC13" s="193"/>
      <c r="AD13" s="190"/>
      <c r="AE13" s="190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</row>
    <row r="14" spans="1:62" ht="16.5" thickBot="1" x14ac:dyDescent="0.3">
      <c r="A14" s="59"/>
      <c r="B14" s="59"/>
      <c r="C14" s="59"/>
      <c r="D14" s="141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71" t="s">
        <v>324</v>
      </c>
      <c r="Q14" s="97">
        <v>107.53935910181501</v>
      </c>
      <c r="R14" s="64" t="s">
        <v>44</v>
      </c>
      <c r="S14" s="71" t="s">
        <v>328</v>
      </c>
      <c r="T14" s="90">
        <v>36.480901219969873</v>
      </c>
      <c r="U14" s="64" t="s">
        <v>316</v>
      </c>
      <c r="V14" s="78" t="s">
        <v>337</v>
      </c>
      <c r="W14" s="201">
        <f>I_out_A*cos_phi_/W5/motor_eff_fr_</f>
        <v>0.55658379146608361</v>
      </c>
      <c r="X14" s="65" t="s">
        <v>208</v>
      </c>
      <c r="Y14" s="67" t="s">
        <v>309</v>
      </c>
      <c r="Z14" s="77">
        <v>2.8389971194681083</v>
      </c>
      <c r="AA14" s="67" t="s">
        <v>180</v>
      </c>
      <c r="AB14" s="143"/>
      <c r="AC14" s="194"/>
      <c r="AD14" s="190"/>
      <c r="AE14" s="190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</row>
    <row r="15" spans="1:62" ht="16.5" thickBot="1" x14ac:dyDescent="0.3">
      <c r="A15" s="59"/>
      <c r="B15" s="2" t="s">
        <v>51</v>
      </c>
      <c r="C15" s="2"/>
      <c r="D15" s="10"/>
      <c r="E15" s="2"/>
      <c r="H15" t="s">
        <v>57</v>
      </c>
      <c r="N15" t="s">
        <v>58</v>
      </c>
      <c r="P15" s="78" t="s">
        <v>318</v>
      </c>
      <c r="Q15" s="98">
        <v>30.307692304088032</v>
      </c>
      <c r="R15" s="65" t="s">
        <v>44</v>
      </c>
      <c r="S15" s="78" t="s">
        <v>329</v>
      </c>
      <c r="T15" s="92">
        <v>15.676592850963671</v>
      </c>
      <c r="U15" s="65" t="s">
        <v>316</v>
      </c>
      <c r="V15" s="70"/>
      <c r="W15" s="158"/>
      <c r="X15" s="65"/>
      <c r="Y15" s="70" t="s">
        <v>212</v>
      </c>
      <c r="Z15" s="82">
        <v>85.169913584043186</v>
      </c>
      <c r="AA15" s="70" t="s">
        <v>180</v>
      </c>
      <c r="AB15" s="144"/>
      <c r="AC15" s="195"/>
      <c r="AD15" s="135"/>
      <c r="AE15" s="135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</row>
    <row r="16" spans="1:62" x14ac:dyDescent="0.25">
      <c r="A16" s="59"/>
      <c r="B16" s="2"/>
      <c r="C16" s="2" t="s">
        <v>43</v>
      </c>
      <c r="D16" s="10" t="s">
        <v>54</v>
      </c>
      <c r="E16" s="2" t="s">
        <v>53</v>
      </c>
      <c r="F16" s="212"/>
      <c r="G16" s="212" t="s">
        <v>56</v>
      </c>
      <c r="H16" s="213"/>
      <c r="I16" s="213"/>
      <c r="J16" s="213"/>
      <c r="K16" s="213"/>
      <c r="L16" s="212"/>
      <c r="M16" s="212" t="s">
        <v>193</v>
      </c>
      <c r="N16" s="213" t="s">
        <v>189</v>
      </c>
      <c r="O16" s="213" t="s">
        <v>190</v>
      </c>
      <c r="P16" s="213"/>
      <c r="Q16" s="213" t="s">
        <v>191</v>
      </c>
      <c r="R16" s="213"/>
      <c r="S16" s="213" t="s">
        <v>192</v>
      </c>
      <c r="T16" s="212" t="s">
        <v>230</v>
      </c>
      <c r="U16" s="214" t="s">
        <v>162</v>
      </c>
      <c r="V16" s="213" t="s">
        <v>163</v>
      </c>
      <c r="W16" s="212" t="s">
        <v>186</v>
      </c>
      <c r="X16" s="212"/>
      <c r="Y16" s="212"/>
      <c r="AA16" s="2" t="s">
        <v>180</v>
      </c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</row>
    <row r="17" spans="1:54" x14ac:dyDescent="0.25">
      <c r="A17" s="59"/>
      <c r="B17" s="2" t="s">
        <v>52</v>
      </c>
      <c r="C17" s="49">
        <v>0</v>
      </c>
      <c r="D17" s="49">
        <v>27</v>
      </c>
      <c r="E17" s="49">
        <v>2</v>
      </c>
      <c r="F17" s="212"/>
      <c r="G17" s="215">
        <v>0</v>
      </c>
      <c r="H17">
        <v>830</v>
      </c>
      <c r="I17">
        <v>32</v>
      </c>
      <c r="J17">
        <v>16</v>
      </c>
      <c r="K17">
        <v>0</v>
      </c>
      <c r="L17" s="212"/>
      <c r="M17">
        <v>0</v>
      </c>
      <c r="N17">
        <v>0</v>
      </c>
      <c r="O17">
        <v>27.171848839576359</v>
      </c>
      <c r="P17">
        <v>0</v>
      </c>
      <c r="Q17">
        <v>22.529268365778066</v>
      </c>
      <c r="R17">
        <v>0</v>
      </c>
      <c r="S17">
        <v>0.92851833971032594</v>
      </c>
      <c r="T17">
        <v>717.39548081890177</v>
      </c>
      <c r="U17" s="212">
        <v>0</v>
      </c>
      <c r="V17" s="216">
        <f>Pline_out_atma_</f>
        <v>20.909586802330246</v>
      </c>
      <c r="W17">
        <v>0</v>
      </c>
      <c r="X17">
        <v>25</v>
      </c>
      <c r="Y17">
        <v>0</v>
      </c>
      <c r="AA17" s="2" t="s">
        <v>180</v>
      </c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</row>
    <row r="18" spans="1:54" x14ac:dyDescent="0.25">
      <c r="A18" s="59"/>
      <c r="B18" s="2" t="s">
        <v>197</v>
      </c>
      <c r="C18" s="18">
        <v>830</v>
      </c>
      <c r="D18" s="18">
        <v>32</v>
      </c>
      <c r="E18" s="18">
        <v>16</v>
      </c>
      <c r="F18" s="212"/>
      <c r="G18" s="215">
        <v>1</v>
      </c>
      <c r="K18">
        <v>122.5</v>
      </c>
      <c r="L18" s="212"/>
      <c r="M18">
        <v>2.3384277652504863</v>
      </c>
      <c r="N18">
        <v>122.5</v>
      </c>
      <c r="O18">
        <v>40.035298433502696</v>
      </c>
      <c r="P18">
        <v>122.5</v>
      </c>
      <c r="Q18">
        <v>24.615086542658592</v>
      </c>
      <c r="R18">
        <v>110.25</v>
      </c>
      <c r="S18">
        <v>1</v>
      </c>
      <c r="T18">
        <v>673.25943782766717</v>
      </c>
      <c r="U18" s="212">
        <v>0</v>
      </c>
      <c r="V18" s="216">
        <f>Pbuf_out_atma_</f>
        <v>27.171848839576359</v>
      </c>
      <c r="W18">
        <v>41.55</v>
      </c>
      <c r="X18">
        <v>25</v>
      </c>
      <c r="Y18">
        <v>110.25</v>
      </c>
      <c r="AA18" s="2" t="s">
        <v>180</v>
      </c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</row>
    <row r="19" spans="1:54" x14ac:dyDescent="0.25">
      <c r="A19" s="59"/>
      <c r="B19" s="2"/>
      <c r="C19" s="18"/>
      <c r="D19" s="18"/>
      <c r="E19" s="18"/>
      <c r="F19" s="212"/>
      <c r="G19" s="215">
        <v>2</v>
      </c>
      <c r="K19">
        <v>245</v>
      </c>
      <c r="L19" s="212"/>
      <c r="M19">
        <v>4.6767696290728615</v>
      </c>
      <c r="N19">
        <v>245</v>
      </c>
      <c r="O19">
        <v>53.006883469258646</v>
      </c>
      <c r="P19">
        <v>245</v>
      </c>
      <c r="Q19">
        <v>26.689266527428654</v>
      </c>
      <c r="R19">
        <v>220.5</v>
      </c>
      <c r="S19">
        <v>1</v>
      </c>
      <c r="T19">
        <v>644.7164115209772</v>
      </c>
      <c r="U19" s="212">
        <f>Hperf_m_</f>
        <v>1257</v>
      </c>
      <c r="V19" s="216">
        <f>Pwf_out_atma_</f>
        <v>39</v>
      </c>
      <c r="W19">
        <v>83.1</v>
      </c>
      <c r="X19">
        <v>25</v>
      </c>
      <c r="Y19">
        <v>220.5</v>
      </c>
      <c r="AA19" s="2" t="s">
        <v>180</v>
      </c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</row>
    <row r="20" spans="1:54" x14ac:dyDescent="0.25">
      <c r="A20" s="59"/>
      <c r="B20" s="2"/>
      <c r="C20" s="18"/>
      <c r="D20" s="18"/>
      <c r="E20" s="18"/>
      <c r="F20" s="212"/>
      <c r="G20" s="215">
        <v>3</v>
      </c>
      <c r="K20">
        <v>367.5</v>
      </c>
      <c r="L20" s="212"/>
      <c r="M20">
        <v>7.0148332475495323</v>
      </c>
      <c r="N20">
        <v>367.5</v>
      </c>
      <c r="O20">
        <v>65.93549672222467</v>
      </c>
      <c r="P20">
        <v>367.5</v>
      </c>
      <c r="Q20">
        <v>28.73833284428321</v>
      </c>
      <c r="R20">
        <v>330.75</v>
      </c>
      <c r="S20">
        <v>1</v>
      </c>
      <c r="T20">
        <v>623.63672155573363</v>
      </c>
      <c r="U20" s="212"/>
      <c r="V20" s="212"/>
      <c r="W20">
        <v>124.64999999999999</v>
      </c>
      <c r="X20">
        <v>25</v>
      </c>
      <c r="Y20">
        <v>330.75</v>
      </c>
      <c r="AA20" s="2" t="s">
        <v>180</v>
      </c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</row>
    <row r="21" spans="1:54" x14ac:dyDescent="0.25">
      <c r="A21" s="59"/>
      <c r="B21" s="2"/>
      <c r="C21" s="18"/>
      <c r="D21" s="18"/>
      <c r="E21" s="18"/>
      <c r="F21" s="212"/>
      <c r="G21" s="215">
        <v>4</v>
      </c>
      <c r="K21">
        <v>490</v>
      </c>
      <c r="L21" s="212"/>
      <c r="M21">
        <v>9.3414285398026049</v>
      </c>
      <c r="N21">
        <v>490</v>
      </c>
      <c r="O21">
        <v>78.725158931322426</v>
      </c>
      <c r="P21">
        <v>490</v>
      </c>
      <c r="Q21">
        <v>30.76026123975312</v>
      </c>
      <c r="R21">
        <v>441</v>
      </c>
      <c r="S21">
        <v>1</v>
      </c>
      <c r="T21">
        <v>604.63406312567417</v>
      </c>
      <c r="U21" s="212"/>
      <c r="V21" s="212"/>
      <c r="W21">
        <v>166.2</v>
      </c>
      <c r="X21">
        <v>25</v>
      </c>
      <c r="Y21">
        <v>441</v>
      </c>
      <c r="AA21" s="2" t="s">
        <v>180</v>
      </c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</row>
    <row r="22" spans="1:54" x14ac:dyDescent="0.25">
      <c r="A22" s="59"/>
      <c r="B22" s="2"/>
      <c r="C22" s="18"/>
      <c r="D22" s="18"/>
      <c r="E22" s="18"/>
      <c r="F22" s="212"/>
      <c r="G22" s="215">
        <v>5</v>
      </c>
      <c r="K22">
        <v>612.5</v>
      </c>
      <c r="L22" s="212"/>
      <c r="M22">
        <v>11.521080401228829</v>
      </c>
      <c r="N22">
        <v>612.5</v>
      </c>
      <c r="O22">
        <v>90.773984987532117</v>
      </c>
      <c r="P22">
        <v>612.5</v>
      </c>
      <c r="Q22">
        <v>32.754717959122672</v>
      </c>
      <c r="R22">
        <v>551.25</v>
      </c>
      <c r="S22">
        <v>1</v>
      </c>
      <c r="T22">
        <v>583.80359131285081</v>
      </c>
      <c r="U22" s="212"/>
      <c r="V22" s="212"/>
      <c r="W22">
        <v>207.75</v>
      </c>
      <c r="X22">
        <v>25</v>
      </c>
      <c r="Y22">
        <v>551.25</v>
      </c>
      <c r="AA22" s="2" t="s">
        <v>180</v>
      </c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</row>
    <row r="23" spans="1:54" x14ac:dyDescent="0.25">
      <c r="A23" s="59"/>
      <c r="B23" s="2"/>
      <c r="C23" s="18"/>
      <c r="D23" s="18"/>
      <c r="E23" s="18"/>
      <c r="F23" s="212"/>
      <c r="G23" s="215">
        <v>6</v>
      </c>
      <c r="K23">
        <v>735</v>
      </c>
      <c r="L23" s="212"/>
      <c r="M23">
        <v>13.358112718777807</v>
      </c>
      <c r="N23">
        <v>735</v>
      </c>
      <c r="O23">
        <v>101.09187846708616</v>
      </c>
      <c r="P23">
        <v>735</v>
      </c>
      <c r="Q23">
        <v>34.738710633174932</v>
      </c>
      <c r="R23">
        <v>661.5</v>
      </c>
      <c r="S23">
        <v>1</v>
      </c>
      <c r="T23">
        <v>560.00121863411221</v>
      </c>
      <c r="U23" s="212"/>
      <c r="V23" s="212"/>
      <c r="W23">
        <v>249.29999999999998</v>
      </c>
      <c r="X23">
        <v>25</v>
      </c>
      <c r="Y23">
        <v>661.5</v>
      </c>
      <c r="AA23" s="2" t="s">
        <v>180</v>
      </c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</row>
    <row r="24" spans="1:54" x14ac:dyDescent="0.25">
      <c r="A24" s="59"/>
      <c r="B24" s="2"/>
      <c r="C24" s="18"/>
      <c r="D24" s="18"/>
      <c r="E24" s="18"/>
      <c r="F24" s="212"/>
      <c r="G24" s="215">
        <v>7</v>
      </c>
      <c r="K24">
        <v>830</v>
      </c>
      <c r="L24" s="212"/>
      <c r="M24">
        <v>14.468388865295946</v>
      </c>
      <c r="N24">
        <v>830</v>
      </c>
      <c r="O24">
        <v>107.53935910181501</v>
      </c>
      <c r="P24">
        <v>830</v>
      </c>
      <c r="Q24">
        <v>36.480901219969873</v>
      </c>
      <c r="R24">
        <v>771.75</v>
      </c>
      <c r="S24">
        <v>1</v>
      </c>
      <c r="T24">
        <v>533.11413845722723</v>
      </c>
      <c r="U24" s="212"/>
      <c r="V24" s="212"/>
      <c r="W24">
        <v>290.84999999999997</v>
      </c>
      <c r="X24">
        <v>25</v>
      </c>
      <c r="Y24">
        <v>771.75</v>
      </c>
      <c r="AA24" s="2" t="s">
        <v>180</v>
      </c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</row>
    <row r="25" spans="1:54" x14ac:dyDescent="0.25">
      <c r="A25" s="59"/>
      <c r="B25" s="2"/>
      <c r="C25" s="18"/>
      <c r="D25" s="18"/>
      <c r="E25" s="18"/>
      <c r="F25" s="212"/>
      <c r="G25" s="215">
        <v>8</v>
      </c>
      <c r="K25">
        <v>831</v>
      </c>
      <c r="L25" s="212"/>
      <c r="M25">
        <v>14.476925344289779</v>
      </c>
      <c r="N25">
        <v>831</v>
      </c>
      <c r="O25">
        <v>30.307692304088036</v>
      </c>
      <c r="P25">
        <v>831</v>
      </c>
      <c r="Q25">
        <v>15.676592850963672</v>
      </c>
      <c r="R25">
        <v>882</v>
      </c>
      <c r="S25">
        <v>0.99967282289189208</v>
      </c>
      <c r="T25">
        <v>822.10104081743577</v>
      </c>
      <c r="U25" s="212"/>
      <c r="V25" s="212"/>
      <c r="W25">
        <v>332.4</v>
      </c>
      <c r="X25">
        <v>25</v>
      </c>
      <c r="Y25">
        <v>882</v>
      </c>
      <c r="AA25" s="2" t="s">
        <v>180</v>
      </c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</row>
    <row r="26" spans="1:54" x14ac:dyDescent="0.25">
      <c r="A26" s="59"/>
      <c r="B26" s="2"/>
      <c r="C26" s="18"/>
      <c r="D26" s="18"/>
      <c r="E26" s="18"/>
      <c r="F26" s="212"/>
      <c r="G26" s="215">
        <v>9</v>
      </c>
      <c r="K26">
        <v>857.5</v>
      </c>
      <c r="L26" s="212"/>
      <c r="M26">
        <v>14.701753430292891</v>
      </c>
      <c r="N26">
        <v>857.5</v>
      </c>
      <c r="O26">
        <v>31.471051658376446</v>
      </c>
      <c r="P26">
        <v>857.5</v>
      </c>
      <c r="Q26">
        <v>15.723379515226709</v>
      </c>
      <c r="R26">
        <v>992.25</v>
      </c>
      <c r="S26">
        <v>1</v>
      </c>
      <c r="T26">
        <v>779.73514694466826</v>
      </c>
      <c r="U26" s="212"/>
      <c r="V26" s="212"/>
      <c r="W26">
        <v>373.95</v>
      </c>
      <c r="X26">
        <v>25</v>
      </c>
      <c r="Y26">
        <v>992.25</v>
      </c>
      <c r="AA26" s="2" t="s">
        <v>180</v>
      </c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</row>
    <row r="27" spans="1:54" x14ac:dyDescent="0.25">
      <c r="A27" s="59"/>
      <c r="B27" s="2"/>
      <c r="C27" s="18"/>
      <c r="D27" s="18"/>
      <c r="E27" s="18"/>
      <c r="F27" s="212"/>
      <c r="G27" s="215">
        <v>10</v>
      </c>
      <c r="K27">
        <v>980</v>
      </c>
      <c r="L27" s="212"/>
      <c r="M27">
        <v>15.48629271604198</v>
      </c>
      <c r="N27">
        <v>980</v>
      </c>
      <c r="O27">
        <v>35.593788087082913</v>
      </c>
      <c r="P27">
        <v>980</v>
      </c>
      <c r="Q27">
        <v>15.893967028618814</v>
      </c>
      <c r="R27">
        <v>1102.5</v>
      </c>
      <c r="S27">
        <v>1</v>
      </c>
      <c r="T27">
        <v>770.14495820457807</v>
      </c>
      <c r="U27" s="212"/>
      <c r="V27" s="212"/>
      <c r="W27">
        <v>415.5</v>
      </c>
      <c r="X27">
        <v>25</v>
      </c>
      <c r="Y27">
        <v>1102.5</v>
      </c>
      <c r="AA27" s="2" t="s">
        <v>180</v>
      </c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</row>
    <row r="28" spans="1:54" x14ac:dyDescent="0.25">
      <c r="A28" s="59"/>
      <c r="B28" s="2"/>
      <c r="C28" s="18"/>
      <c r="D28" s="18"/>
      <c r="E28" s="18"/>
      <c r="F28" s="212"/>
      <c r="G28" s="215">
        <v>11</v>
      </c>
      <c r="K28">
        <v>1102.5</v>
      </c>
      <c r="L28" s="212"/>
      <c r="M28">
        <v>15.806223640664626</v>
      </c>
      <c r="N28">
        <v>1102.5</v>
      </c>
      <c r="O28">
        <v>37.250985995016173</v>
      </c>
      <c r="P28">
        <v>1102.5</v>
      </c>
      <c r="Q28">
        <v>15.966665104278233</v>
      </c>
      <c r="R28">
        <v>1212.75</v>
      </c>
      <c r="S28">
        <v>1</v>
      </c>
      <c r="T28">
        <v>767.08816393998586</v>
      </c>
      <c r="U28" s="212"/>
      <c r="V28" s="212"/>
      <c r="W28">
        <v>457.04999999999995</v>
      </c>
      <c r="X28">
        <v>25</v>
      </c>
      <c r="Y28">
        <v>1212.75</v>
      </c>
      <c r="AA28" s="2" t="s">
        <v>180</v>
      </c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</row>
    <row r="29" spans="1:54" x14ac:dyDescent="0.25">
      <c r="A29" s="59"/>
      <c r="B29" s="2"/>
      <c r="C29" s="18"/>
      <c r="D29" s="18"/>
      <c r="E29" s="18"/>
      <c r="F29" s="212"/>
      <c r="G29" s="215">
        <v>12</v>
      </c>
      <c r="K29">
        <v>1225</v>
      </c>
      <c r="L29" s="212"/>
      <c r="M29">
        <v>15.986141048735677</v>
      </c>
      <c r="N29">
        <v>1225</v>
      </c>
      <c r="O29">
        <v>38.273549898001839</v>
      </c>
      <c r="P29">
        <v>1225</v>
      </c>
      <c r="Q29">
        <v>15.993647407170473</v>
      </c>
      <c r="R29">
        <v>1323</v>
      </c>
      <c r="S29">
        <v>1</v>
      </c>
      <c r="T29">
        <v>766.57746718908538</v>
      </c>
      <c r="U29" s="212"/>
      <c r="V29" s="212"/>
      <c r="W29">
        <v>498.59999999999997</v>
      </c>
      <c r="X29">
        <v>25</v>
      </c>
      <c r="Y29">
        <v>1323</v>
      </c>
      <c r="AA29" s="2" t="s">
        <v>180</v>
      </c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</row>
    <row r="30" spans="1:54" x14ac:dyDescent="0.25">
      <c r="A30" s="59"/>
      <c r="B30" s="2"/>
      <c r="C30" s="18"/>
      <c r="D30" s="18"/>
      <c r="E30" s="18"/>
      <c r="F30" s="212"/>
      <c r="G30" s="215">
        <v>13</v>
      </c>
      <c r="K30">
        <v>1347.5</v>
      </c>
      <c r="L30" s="212"/>
      <c r="M30">
        <v>16.002285628336882</v>
      </c>
      <c r="N30">
        <v>1347.5</v>
      </c>
      <c r="O30">
        <v>38.465424206710587</v>
      </c>
      <c r="P30">
        <v>1347.5</v>
      </c>
      <c r="Q30">
        <v>15.997520676321036</v>
      </c>
      <c r="R30">
        <v>1433.25</v>
      </c>
      <c r="S30">
        <v>1</v>
      </c>
      <c r="T30">
        <v>766.39219212634066</v>
      </c>
      <c r="U30" s="212"/>
      <c r="V30" s="212"/>
      <c r="W30">
        <v>540.15</v>
      </c>
      <c r="X30">
        <v>25</v>
      </c>
      <c r="Y30">
        <v>1433.25</v>
      </c>
      <c r="AA30" s="2" t="s">
        <v>180</v>
      </c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</row>
    <row r="31" spans="1:54" x14ac:dyDescent="0.25">
      <c r="A31" s="59"/>
      <c r="B31" s="2"/>
      <c r="C31" s="18"/>
      <c r="D31" s="18"/>
      <c r="E31" s="18"/>
      <c r="F31" s="212"/>
      <c r="G31" s="215">
        <v>14</v>
      </c>
      <c r="K31">
        <v>1470</v>
      </c>
      <c r="L31" s="212"/>
      <c r="M31">
        <v>16.00652921799767</v>
      </c>
      <c r="N31">
        <v>1470</v>
      </c>
      <c r="O31">
        <v>38.573327369725895</v>
      </c>
      <c r="P31">
        <v>1470</v>
      </c>
      <c r="Q31">
        <v>15.999602785976863</v>
      </c>
      <c r="R31">
        <v>1543.5</v>
      </c>
      <c r="S31">
        <v>1</v>
      </c>
      <c r="T31">
        <v>766.25429579223646</v>
      </c>
      <c r="U31" s="212"/>
      <c r="V31" s="212"/>
      <c r="W31">
        <v>581.69999999999993</v>
      </c>
      <c r="X31">
        <v>25</v>
      </c>
      <c r="Y31">
        <v>1543.5</v>
      </c>
      <c r="AA31" s="2" t="s">
        <v>180</v>
      </c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</row>
    <row r="32" spans="1:54" x14ac:dyDescent="0.25">
      <c r="A32" s="59"/>
      <c r="B32" s="2"/>
      <c r="C32" s="18"/>
      <c r="D32" s="18"/>
      <c r="E32" s="18"/>
      <c r="F32" s="212"/>
      <c r="G32" s="215">
        <v>15</v>
      </c>
      <c r="K32">
        <v>1592.5</v>
      </c>
      <c r="L32" s="212"/>
      <c r="M32">
        <v>16.010224939131366</v>
      </c>
      <c r="N32">
        <v>1592.5</v>
      </c>
      <c r="O32">
        <v>38.663250976858066</v>
      </c>
      <c r="P32">
        <v>1592.5</v>
      </c>
      <c r="Q32">
        <v>16.00117823825466</v>
      </c>
      <c r="R32">
        <v>1653.75</v>
      </c>
      <c r="S32">
        <v>1</v>
      </c>
      <c r="T32">
        <v>766.19404540003518</v>
      </c>
      <c r="U32" s="212"/>
      <c r="V32" s="212"/>
      <c r="W32">
        <v>623.25</v>
      </c>
      <c r="X32">
        <v>25</v>
      </c>
      <c r="Y32">
        <v>1653.75</v>
      </c>
      <c r="AA32" s="2" t="s">
        <v>180</v>
      </c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</row>
    <row r="33" spans="1:54" x14ac:dyDescent="0.25">
      <c r="A33" s="59"/>
      <c r="B33" s="2"/>
      <c r="C33" s="18"/>
      <c r="D33" s="18"/>
      <c r="E33" s="18"/>
      <c r="F33" s="212"/>
      <c r="G33" s="215">
        <v>16</v>
      </c>
      <c r="K33">
        <v>1715</v>
      </c>
      <c r="L33" s="212"/>
      <c r="M33">
        <v>16.013963942973223</v>
      </c>
      <c r="N33">
        <v>1715</v>
      </c>
      <c r="O33">
        <v>38.755867430903749</v>
      </c>
      <c r="P33">
        <v>1715</v>
      </c>
      <c r="Q33">
        <v>16.002242691264055</v>
      </c>
      <c r="R33">
        <v>1764</v>
      </c>
      <c r="S33">
        <v>1</v>
      </c>
      <c r="T33">
        <v>766.23944652997261</v>
      </c>
      <c r="U33" s="212"/>
      <c r="V33" s="212"/>
      <c r="W33">
        <v>664.8</v>
      </c>
      <c r="X33">
        <v>25</v>
      </c>
      <c r="Y33">
        <v>1764</v>
      </c>
      <c r="AA33" s="2" t="s">
        <v>180</v>
      </c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</row>
    <row r="34" spans="1:54" x14ac:dyDescent="0.25">
      <c r="A34" s="59"/>
      <c r="B34" s="2"/>
      <c r="C34" s="18"/>
      <c r="D34" s="18"/>
      <c r="E34" s="18"/>
      <c r="F34" s="212"/>
      <c r="G34" s="215">
        <v>17</v>
      </c>
      <c r="K34">
        <v>1837.5</v>
      </c>
      <c r="L34" s="212"/>
      <c r="M34">
        <v>16.018370603276257</v>
      </c>
      <c r="N34">
        <v>1837.5</v>
      </c>
      <c r="O34">
        <v>38.854085086037259</v>
      </c>
      <c r="P34">
        <v>1837.5</v>
      </c>
      <c r="Q34">
        <v>16.002595827262866</v>
      </c>
      <c r="R34">
        <v>1874.25</v>
      </c>
      <c r="S34">
        <v>1</v>
      </c>
      <c r="T34">
        <v>766.40868711269013</v>
      </c>
      <c r="U34" s="212"/>
      <c r="V34" s="212"/>
      <c r="W34">
        <v>706.34999999999991</v>
      </c>
      <c r="X34">
        <v>25</v>
      </c>
      <c r="Y34">
        <v>1874.25</v>
      </c>
      <c r="AA34" s="2" t="s">
        <v>180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</row>
    <row r="35" spans="1:54" x14ac:dyDescent="0.25">
      <c r="A35" s="59"/>
      <c r="B35" s="2"/>
      <c r="C35" s="18"/>
      <c r="D35" s="18"/>
      <c r="E35" s="18"/>
      <c r="F35" s="212"/>
      <c r="G35" s="215">
        <v>18</v>
      </c>
      <c r="K35">
        <v>1960</v>
      </c>
      <c r="L35" s="212"/>
      <c r="M35">
        <v>16.020811963161744</v>
      </c>
      <c r="N35">
        <v>1960</v>
      </c>
      <c r="O35">
        <v>38.948895890970611</v>
      </c>
      <c r="P35">
        <v>1960</v>
      </c>
      <c r="Q35">
        <v>16.002112427236526</v>
      </c>
      <c r="R35">
        <v>1984.5</v>
      </c>
      <c r="S35">
        <v>1</v>
      </c>
      <c r="T35">
        <v>766.69027022962223</v>
      </c>
      <c r="U35" s="212"/>
      <c r="V35" s="212"/>
      <c r="W35">
        <v>747.9</v>
      </c>
      <c r="X35">
        <v>25</v>
      </c>
      <c r="Y35">
        <v>1984.5</v>
      </c>
      <c r="AA35" s="2" t="s">
        <v>180</v>
      </c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</row>
    <row r="36" spans="1:54" x14ac:dyDescent="0.25">
      <c r="A36" s="59"/>
      <c r="B36" s="2"/>
      <c r="C36" s="18"/>
      <c r="D36" s="18"/>
      <c r="E36" s="18"/>
      <c r="F36" s="212"/>
      <c r="G36" s="215">
        <v>19</v>
      </c>
      <c r="K36">
        <v>2082.5</v>
      </c>
      <c r="L36" s="212"/>
      <c r="M36">
        <v>16.023678926213972</v>
      </c>
      <c r="N36">
        <v>2082.5</v>
      </c>
      <c r="O36">
        <v>39.041048535879362</v>
      </c>
      <c r="P36">
        <v>2082.5</v>
      </c>
      <c r="Q36">
        <v>16.00086493895277</v>
      </c>
      <c r="R36">
        <v>2094.75</v>
      </c>
      <c r="S36">
        <v>1</v>
      </c>
      <c r="T36">
        <v>767.09811184597686</v>
      </c>
      <c r="U36" s="212"/>
      <c r="V36" s="212"/>
      <c r="W36">
        <v>789.44999999999993</v>
      </c>
      <c r="X36">
        <v>27.716441364583854</v>
      </c>
      <c r="Y36">
        <v>2094.75</v>
      </c>
      <c r="AA36" s="2" t="s">
        <v>180</v>
      </c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</row>
    <row r="37" spans="1:54" x14ac:dyDescent="0.25">
      <c r="A37" s="59"/>
      <c r="B37" s="2"/>
      <c r="C37" s="18"/>
      <c r="D37" s="18"/>
      <c r="E37" s="18"/>
      <c r="F37" s="212"/>
      <c r="G37" s="215">
        <v>20</v>
      </c>
      <c r="K37">
        <v>2205</v>
      </c>
      <c r="L37" s="212"/>
      <c r="M37">
        <v>16</v>
      </c>
      <c r="N37">
        <v>2205</v>
      </c>
      <c r="O37">
        <v>39</v>
      </c>
      <c r="P37">
        <v>2205</v>
      </c>
      <c r="Q37">
        <v>16</v>
      </c>
      <c r="R37">
        <v>2205</v>
      </c>
      <c r="S37">
        <v>1</v>
      </c>
      <c r="T37">
        <v>767.13082595383207</v>
      </c>
      <c r="U37" s="212"/>
      <c r="V37" s="212"/>
      <c r="W37">
        <v>831</v>
      </c>
      <c r="X37">
        <v>30.307692304088032</v>
      </c>
      <c r="Y37">
        <v>2205</v>
      </c>
      <c r="AA37" s="2" t="s">
        <v>180</v>
      </c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</row>
    <row r="38" spans="1:54" x14ac:dyDescent="0.25">
      <c r="A38" s="59"/>
      <c r="B38" s="2"/>
      <c r="C38" s="18"/>
      <c r="D38" s="18"/>
      <c r="E38" s="18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212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</row>
    <row r="39" spans="1:54" x14ac:dyDescent="0.25">
      <c r="C39" s="18"/>
      <c r="D39" s="18"/>
      <c r="E39" s="18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</row>
    <row r="40" spans="1:54" x14ac:dyDescent="0.25">
      <c r="A40" s="59"/>
      <c r="B40" s="59"/>
      <c r="C40" s="202"/>
      <c r="D40" s="202"/>
      <c r="E40" s="202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</row>
    <row r="41" spans="1:54" x14ac:dyDescent="0.25">
      <c r="A41" s="59"/>
      <c r="B41" s="59"/>
      <c r="C41" s="202"/>
      <c r="D41" s="202"/>
      <c r="E41" s="202"/>
      <c r="F41" s="59"/>
      <c r="G41" s="59"/>
      <c r="H41" s="59"/>
      <c r="I41" s="59"/>
      <c r="J41" s="59"/>
      <c r="K41" s="59"/>
      <c r="L41" s="122">
        <v>3</v>
      </c>
      <c r="M41" s="59"/>
      <c r="N41" s="123"/>
      <c r="O41" s="123"/>
      <c r="P41" s="124"/>
      <c r="Q41" s="59"/>
      <c r="R41" s="59"/>
      <c r="S41" s="59"/>
      <c r="T41" s="59"/>
      <c r="U41" s="59"/>
      <c r="V41" s="59"/>
      <c r="W41" s="59"/>
      <c r="X41" s="59"/>
      <c r="Y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</row>
    <row r="42" spans="1:54" x14ac:dyDescent="0.25">
      <c r="A42" s="59"/>
      <c r="B42" s="59"/>
      <c r="C42" s="202"/>
      <c r="D42" s="202"/>
      <c r="E42" s="202"/>
      <c r="F42" s="59"/>
      <c r="G42" s="59"/>
      <c r="H42" s="59"/>
      <c r="I42" s="59"/>
      <c r="J42" s="59"/>
      <c r="K42" s="59"/>
      <c r="L42" s="122"/>
      <c r="M42" s="59"/>
      <c r="N42" s="123"/>
      <c r="O42" s="123"/>
      <c r="P42" s="124"/>
      <c r="Q42" s="59"/>
      <c r="R42" s="59"/>
      <c r="S42" s="59"/>
      <c r="T42" s="59"/>
      <c r="U42" s="59"/>
      <c r="V42" s="59"/>
      <c r="W42" s="59"/>
      <c r="X42" s="59"/>
      <c r="Y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</row>
    <row r="43" spans="1:54" x14ac:dyDescent="0.25">
      <c r="A43" s="59"/>
      <c r="B43" s="59"/>
      <c r="C43" s="202"/>
      <c r="D43" s="202"/>
      <c r="E43" s="202"/>
      <c r="F43" s="59"/>
      <c r="G43" s="59"/>
      <c r="H43" s="59"/>
      <c r="I43" s="59"/>
      <c r="J43" s="59"/>
      <c r="K43" s="59"/>
      <c r="L43" s="122"/>
      <c r="M43" s="59"/>
      <c r="N43" s="123"/>
      <c r="O43" s="123"/>
      <c r="P43" s="124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</row>
    <row r="44" spans="1:54" x14ac:dyDescent="0.25">
      <c r="A44" s="59"/>
      <c r="B44" s="59"/>
      <c r="C44" s="202"/>
      <c r="D44" s="202"/>
      <c r="E44" s="202"/>
      <c r="F44" s="59"/>
      <c r="G44" s="59"/>
      <c r="H44" s="59"/>
      <c r="I44" s="59"/>
      <c r="J44" s="59"/>
      <c r="K44" s="59"/>
      <c r="L44" s="122"/>
      <c r="M44" s="59"/>
      <c r="N44" s="123"/>
      <c r="O44" s="123"/>
      <c r="P44" s="124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</row>
    <row r="45" spans="1:54" x14ac:dyDescent="0.25">
      <c r="A45" s="59"/>
      <c r="B45" s="59"/>
      <c r="C45" s="202"/>
      <c r="D45" s="202"/>
      <c r="E45" s="202"/>
      <c r="F45" s="59"/>
      <c r="G45" s="59"/>
      <c r="H45" s="59"/>
      <c r="I45" s="59"/>
      <c r="J45" s="59"/>
      <c r="K45" s="59"/>
      <c r="L45" s="122"/>
      <c r="M45" s="59"/>
      <c r="N45" s="123"/>
      <c r="O45" s="123"/>
      <c r="P45" s="124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</row>
    <row r="46" spans="1:54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122"/>
      <c r="M46" s="59"/>
      <c r="N46" s="123"/>
      <c r="O46" s="123"/>
      <c r="P46" s="124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</row>
    <row r="47" spans="1:54" ht="15.75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122"/>
      <c r="M47" s="125"/>
      <c r="N47" s="126"/>
      <c r="O47" s="126"/>
      <c r="P47" s="126"/>
      <c r="Q47" s="127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</row>
    <row r="48" spans="1:54" ht="15.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122"/>
      <c r="M48" s="125"/>
      <c r="N48" s="128"/>
      <c r="O48" s="128"/>
      <c r="P48" s="129"/>
      <c r="Q48" s="130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</row>
    <row r="49" spans="1:54" ht="15.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122"/>
      <c r="M49" s="125"/>
      <c r="N49" s="128"/>
      <c r="O49" s="128"/>
      <c r="P49" s="129"/>
      <c r="Q49" s="131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</row>
    <row r="50" spans="1:54" ht="15.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122"/>
      <c r="M50" s="125"/>
      <c r="N50" s="128"/>
      <c r="O50" s="128"/>
      <c r="P50" s="129"/>
      <c r="Q50" s="131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</row>
    <row r="51" spans="1:54" ht="15.75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122"/>
      <c r="M51" s="125"/>
      <c r="N51" s="128"/>
      <c r="O51" s="128"/>
      <c r="P51" s="129"/>
      <c r="Q51" s="131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</row>
    <row r="52" spans="1:54" ht="15.75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122"/>
      <c r="M52" s="125"/>
      <c r="N52" s="132"/>
      <c r="O52" s="132"/>
      <c r="P52" s="129"/>
      <c r="Q52" s="131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</row>
    <row r="53" spans="1:54" ht="15.75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122"/>
      <c r="M53" s="125"/>
      <c r="N53" s="128"/>
      <c r="O53" s="128"/>
      <c r="P53" s="129"/>
      <c r="Q53" s="131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</row>
    <row r="54" spans="1:54" ht="15.75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122"/>
      <c r="M54" s="125"/>
      <c r="N54" s="133"/>
      <c r="O54" s="125"/>
      <c r="P54" s="134"/>
      <c r="Q54" s="135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</row>
    <row r="55" spans="1:54" ht="15.75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122"/>
      <c r="M55" s="136"/>
      <c r="N55" s="137"/>
      <c r="O55" s="125"/>
      <c r="P55" s="125"/>
      <c r="Q55" s="135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70"/>
      <c r="AT55" s="170"/>
      <c r="AU55" s="170"/>
      <c r="AV55" s="170"/>
      <c r="AW55" s="170"/>
      <c r="AX55" s="170"/>
      <c r="AY55" s="170"/>
      <c r="AZ55" s="170"/>
      <c r="BA55" s="170"/>
      <c r="BB55" s="170"/>
    </row>
    <row r="56" spans="1:54" ht="16.5" thickBot="1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122"/>
      <c r="M56" s="136"/>
      <c r="N56" s="137"/>
      <c r="O56" s="125"/>
      <c r="P56" s="125"/>
      <c r="Q56" s="135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</row>
    <row r="57" spans="1:54" ht="15.75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122"/>
      <c r="M57" s="136"/>
      <c r="N57" s="138"/>
      <c r="O57" s="125"/>
      <c r="P57" s="125"/>
      <c r="Q57" s="135"/>
      <c r="R57" s="59"/>
      <c r="S57" s="59"/>
      <c r="T57" s="59"/>
      <c r="U57" s="59"/>
      <c r="V57" s="59"/>
      <c r="W57" s="59"/>
      <c r="X57" s="59"/>
      <c r="Y57" s="59"/>
      <c r="AA57" s="160" t="s">
        <v>348</v>
      </c>
      <c r="AB57" s="161"/>
      <c r="AC57" s="161"/>
      <c r="AD57" s="161"/>
      <c r="AE57" s="161"/>
      <c r="AF57" s="161"/>
      <c r="AG57" s="161"/>
      <c r="AH57" s="161"/>
      <c r="AI57" s="162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59"/>
    </row>
    <row r="58" spans="1:54" ht="16.5" thickBot="1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122"/>
      <c r="M58" s="136"/>
      <c r="N58" s="138"/>
      <c r="O58" s="135"/>
      <c r="P58" s="135"/>
      <c r="Q58" s="135"/>
      <c r="R58" s="59"/>
      <c r="S58" s="59"/>
      <c r="T58" s="59"/>
      <c r="U58" s="59"/>
      <c r="V58" s="59"/>
      <c r="W58" s="59"/>
      <c r="X58" s="59"/>
      <c r="Y58" s="59"/>
      <c r="AA58" s="163" t="s">
        <v>177</v>
      </c>
      <c r="AB58" s="164" t="s">
        <v>341</v>
      </c>
      <c r="AC58" s="164" t="s">
        <v>231</v>
      </c>
      <c r="AD58" s="164" t="s">
        <v>342</v>
      </c>
      <c r="AE58" s="164" t="s">
        <v>343</v>
      </c>
      <c r="AF58" s="164" t="s">
        <v>344</v>
      </c>
      <c r="AG58" s="164" t="s">
        <v>345</v>
      </c>
      <c r="AH58" s="164" t="s">
        <v>346</v>
      </c>
      <c r="AI58" s="165" t="s">
        <v>347</v>
      </c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</row>
    <row r="59" spans="1:54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135"/>
      <c r="N59" s="135"/>
      <c r="O59" s="135"/>
      <c r="P59" s="135"/>
      <c r="Q59" s="135"/>
      <c r="R59" s="59"/>
      <c r="S59" s="59"/>
      <c r="T59" s="59"/>
      <c r="U59" s="59"/>
      <c r="V59" s="59"/>
      <c r="W59" s="59"/>
      <c r="X59" s="59"/>
      <c r="Y59" s="59"/>
      <c r="AA59" s="166"/>
      <c r="AB59" s="167"/>
      <c r="AC59" s="167"/>
      <c r="AD59" s="167"/>
      <c r="AE59" s="167"/>
      <c r="AF59" s="167"/>
      <c r="AG59" s="167"/>
      <c r="AH59" s="167"/>
      <c r="AI59" s="168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</row>
    <row r="60" spans="1:54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122"/>
      <c r="M60" s="135"/>
      <c r="N60" s="139"/>
      <c r="O60" s="139"/>
      <c r="P60" s="140"/>
      <c r="Q60" s="135"/>
      <c r="R60" s="59"/>
      <c r="S60" s="59"/>
      <c r="T60" s="59"/>
      <c r="U60" s="59"/>
      <c r="V60" s="59"/>
      <c r="W60" s="59"/>
      <c r="X60" s="59"/>
      <c r="Y60" s="59"/>
      <c r="AA60">
        <v>1</v>
      </c>
      <c r="AB60">
        <v>9.3150484281819143E-2</v>
      </c>
      <c r="AC60">
        <v>2.6971788755061829E-2</v>
      </c>
      <c r="AD60">
        <v>309.1071336285371</v>
      </c>
      <c r="AE60">
        <v>28.793479192463213</v>
      </c>
      <c r="AF60">
        <v>30.500268452346717</v>
      </c>
      <c r="AG60">
        <v>127.49371585560687</v>
      </c>
      <c r="AH60">
        <v>15.768730998127021</v>
      </c>
      <c r="AI60">
        <v>1065.2576830848093</v>
      </c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</row>
    <row r="61" spans="1:54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122"/>
      <c r="M61" s="135"/>
      <c r="N61" s="139"/>
      <c r="O61" s="139"/>
      <c r="P61" s="140"/>
      <c r="Q61" s="135"/>
      <c r="R61" s="59"/>
      <c r="S61" s="59"/>
      <c r="T61" s="59"/>
      <c r="U61" s="59"/>
      <c r="V61" s="59"/>
      <c r="W61" s="59"/>
      <c r="X61" s="59"/>
      <c r="Y61" s="59"/>
      <c r="AA61">
        <v>9.0243902439024382</v>
      </c>
      <c r="AB61">
        <v>9.8686019380094844E-2</v>
      </c>
      <c r="AC61">
        <v>0</v>
      </c>
      <c r="AD61">
        <v>357.5184258585889</v>
      </c>
      <c r="AE61">
        <v>36.922352508072365</v>
      </c>
      <c r="AF61">
        <v>32.170694871777407</v>
      </c>
      <c r="AG61">
        <v>124.34956259662205</v>
      </c>
      <c r="AH61">
        <v>16.499081896685915</v>
      </c>
      <c r="AI61">
        <v>1005.7881620306022</v>
      </c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</row>
    <row r="62" spans="1:54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122"/>
      <c r="M62" s="135"/>
      <c r="N62" s="139"/>
      <c r="O62" s="139"/>
      <c r="P62" s="140"/>
      <c r="Q62" s="135"/>
      <c r="R62" s="59"/>
      <c r="S62" s="59"/>
      <c r="T62" s="59"/>
      <c r="U62" s="59"/>
      <c r="V62" s="59"/>
      <c r="W62" s="59"/>
      <c r="X62" s="59"/>
      <c r="Y62" s="59"/>
      <c r="AA62">
        <v>17.048780487804876</v>
      </c>
      <c r="AB62">
        <v>0.10437649360107217</v>
      </c>
      <c r="AC62">
        <v>0</v>
      </c>
      <c r="AD62">
        <v>2779.2380455652897</v>
      </c>
      <c r="AE62">
        <v>309.10383997299749</v>
      </c>
      <c r="AF62">
        <v>35.703394000245069</v>
      </c>
      <c r="AG62">
        <v>124.46234264012698</v>
      </c>
      <c r="AH62">
        <v>17.89608732965435</v>
      </c>
      <c r="AI62">
        <v>940.9827964293745</v>
      </c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</row>
    <row r="63" spans="1:54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122"/>
      <c r="M63" s="135"/>
      <c r="N63" s="139"/>
      <c r="O63" s="139"/>
      <c r="P63" s="140"/>
      <c r="Q63" s="135"/>
      <c r="R63" s="59"/>
      <c r="S63" s="59"/>
      <c r="T63" s="59"/>
      <c r="U63" s="59"/>
      <c r="V63" s="59"/>
      <c r="W63" s="59"/>
      <c r="X63" s="59"/>
      <c r="Y63" s="59"/>
      <c r="AA63">
        <v>25.073170731707314</v>
      </c>
      <c r="AB63">
        <v>0.10745089048232404</v>
      </c>
      <c r="AC63">
        <v>0</v>
      </c>
      <c r="AD63">
        <v>2669.6237010782625</v>
      </c>
      <c r="AE63">
        <v>313.74324014785964</v>
      </c>
      <c r="AF63">
        <v>37.429838950889675</v>
      </c>
      <c r="AG63">
        <v>124.54891456551363</v>
      </c>
      <c r="AH63">
        <v>18.513984718271423</v>
      </c>
      <c r="AI63">
        <v>894.18814228942927</v>
      </c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</row>
    <row r="64" spans="1:54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122"/>
      <c r="M64" s="135"/>
      <c r="N64" s="139"/>
      <c r="O64" s="139"/>
      <c r="P64" s="140"/>
      <c r="Q64" s="135"/>
      <c r="R64" s="59"/>
      <c r="S64" s="59"/>
      <c r="T64" s="59"/>
      <c r="U64" s="59"/>
      <c r="V64" s="59"/>
      <c r="W64" s="59"/>
      <c r="X64" s="59"/>
      <c r="Y64" s="59"/>
      <c r="AA64">
        <v>33.097560975609753</v>
      </c>
      <c r="AB64">
        <v>0.11018899982034547</v>
      </c>
      <c r="AC64">
        <v>0</v>
      </c>
      <c r="AD64">
        <v>2593.6906901572097</v>
      </c>
      <c r="AE64">
        <v>317.03770621489946</v>
      </c>
      <c r="AF64">
        <v>39.1721096574732</v>
      </c>
      <c r="AG64">
        <v>124.61613780707835</v>
      </c>
      <c r="AH64">
        <v>19.112643613339753</v>
      </c>
      <c r="AI64">
        <v>860.7773095302415</v>
      </c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</row>
    <row r="65" spans="1:54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122"/>
      <c r="M65" s="135"/>
      <c r="N65" s="139"/>
      <c r="O65" s="139"/>
      <c r="P65" s="140"/>
      <c r="Q65" s="135"/>
      <c r="R65" s="59"/>
      <c r="S65" s="59"/>
      <c r="T65" s="59"/>
      <c r="U65" s="59"/>
      <c r="V65" s="59"/>
      <c r="W65" s="59"/>
      <c r="X65" s="59"/>
      <c r="Y65" s="59"/>
      <c r="AA65">
        <v>41.121951219512191</v>
      </c>
      <c r="AB65">
        <v>0.11270110098078887</v>
      </c>
      <c r="AC65">
        <v>0</v>
      </c>
      <c r="AD65">
        <v>2526.7941131605394</v>
      </c>
      <c r="AE65">
        <v>319.98692504443608</v>
      </c>
      <c r="AF65">
        <v>40.928649081402632</v>
      </c>
      <c r="AG65">
        <v>124.67976569579407</v>
      </c>
      <c r="AH65">
        <v>19.694124328837695</v>
      </c>
      <c r="AI65">
        <v>830.77614396550825</v>
      </c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</row>
    <row r="66" spans="1:54" ht="15.75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122"/>
      <c r="M66" s="125"/>
      <c r="N66" s="126"/>
      <c r="O66" s="126"/>
      <c r="P66" s="126"/>
      <c r="Q66" s="127"/>
      <c r="R66" s="59"/>
      <c r="S66" s="59"/>
      <c r="T66" s="59"/>
      <c r="U66" s="59"/>
      <c r="V66" s="59"/>
      <c r="W66" s="59"/>
      <c r="X66" s="59"/>
      <c r="Y66" s="59"/>
      <c r="AA66">
        <v>49.146341463414629</v>
      </c>
      <c r="AB66">
        <v>0.11501348225916146</v>
      </c>
      <c r="AC66">
        <v>0</v>
      </c>
      <c r="AD66">
        <v>2469.4451396447598</v>
      </c>
      <c r="AE66">
        <v>322.55385873491821</v>
      </c>
      <c r="AF66">
        <v>42.699383438396644</v>
      </c>
      <c r="AG66">
        <v>124.73934414946426</v>
      </c>
      <c r="AH66">
        <v>20.258661481383783</v>
      </c>
      <c r="AI66">
        <v>804.5666848959919</v>
      </c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</row>
    <row r="67" spans="1:54" ht="15.75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122"/>
      <c r="M67" s="125"/>
      <c r="N67" s="128"/>
      <c r="O67" s="128"/>
      <c r="P67" s="129"/>
      <c r="Q67" s="130"/>
      <c r="R67" s="59"/>
      <c r="S67" s="59"/>
      <c r="T67" s="59"/>
      <c r="U67" s="59"/>
      <c r="V67" s="59"/>
      <c r="W67" s="59"/>
      <c r="X67" s="59"/>
      <c r="Y67" s="59"/>
      <c r="AA67">
        <v>57.170731707317067</v>
      </c>
      <c r="AB67">
        <v>0.11715586255598993</v>
      </c>
      <c r="AC67">
        <v>0</v>
      </c>
      <c r="AD67">
        <v>2420.1793520855845</v>
      </c>
      <c r="AE67">
        <v>324.7854775745372</v>
      </c>
      <c r="AF67">
        <v>44.482619540776319</v>
      </c>
      <c r="AG67">
        <v>124.79537028320786</v>
      </c>
      <c r="AH67">
        <v>20.808364042124982</v>
      </c>
      <c r="AI67">
        <v>781.69293895570695</v>
      </c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</row>
    <row r="68" spans="1:54" ht="15.75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122"/>
      <c r="M68" s="125"/>
      <c r="N68" s="128"/>
      <c r="O68" s="128"/>
      <c r="P68" s="129"/>
      <c r="Q68" s="131"/>
      <c r="R68" s="59"/>
      <c r="S68" s="59"/>
      <c r="T68" s="59"/>
      <c r="U68" s="59"/>
      <c r="V68" s="59"/>
      <c r="W68" s="59"/>
      <c r="X68" s="59"/>
      <c r="Y68" s="59"/>
      <c r="AA68">
        <v>65.195121951219505</v>
      </c>
      <c r="AB68">
        <v>0.11917189180221376</v>
      </c>
      <c r="AC68">
        <v>0</v>
      </c>
      <c r="AD68">
        <v>2376.6759553551574</v>
      </c>
      <c r="AE68">
        <v>326.77191091292536</v>
      </c>
      <c r="AF68">
        <v>46.275029048566317</v>
      </c>
      <c r="AG68">
        <v>124.84878047717821</v>
      </c>
      <c r="AH68">
        <v>21.347198552273106</v>
      </c>
      <c r="AI68">
        <v>761.26243744808028</v>
      </c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</row>
    <row r="69" spans="1:54" ht="15.75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122"/>
      <c r="M69" s="125"/>
      <c r="N69" s="128"/>
      <c r="O69" s="128"/>
      <c r="P69" s="129"/>
      <c r="Q69" s="131"/>
      <c r="R69" s="59"/>
      <c r="S69" s="59"/>
      <c r="AA69">
        <v>73.219512195121951</v>
      </c>
      <c r="AB69">
        <v>0.12107198073827637</v>
      </c>
      <c r="AC69">
        <v>0</v>
      </c>
      <c r="AD69">
        <v>2338.2429104789517</v>
      </c>
      <c r="AE69">
        <v>328.53870826291467</v>
      </c>
      <c r="AF69">
        <v>48.075666467265528</v>
      </c>
      <c r="AG69">
        <v>124.89983232760572</v>
      </c>
      <c r="AH69">
        <v>21.876278304493134</v>
      </c>
      <c r="AI69">
        <v>743.02257468125867</v>
      </c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</row>
    <row r="70" spans="1:54" ht="15.75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122"/>
      <c r="M70" s="125"/>
      <c r="N70" s="128"/>
      <c r="O70" s="128"/>
      <c r="P70" s="129"/>
      <c r="Q70" s="131"/>
      <c r="R70" s="59"/>
      <c r="S70" s="59"/>
      <c r="AA70">
        <v>81.243902439024382</v>
      </c>
      <c r="AB70">
        <v>0.12286511588979855</v>
      </c>
      <c r="AC70">
        <v>0</v>
      </c>
      <c r="AD70">
        <v>2304.2654135139651</v>
      </c>
      <c r="AE70">
        <v>330.1090587487775</v>
      </c>
      <c r="AF70">
        <v>49.883662423256666</v>
      </c>
      <c r="AG70">
        <v>124.94875995764666</v>
      </c>
      <c r="AH70">
        <v>22.396615354569725</v>
      </c>
      <c r="AI70">
        <v>726.74342136579025</v>
      </c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</row>
    <row r="71" spans="1:54" ht="15.75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122"/>
      <c r="M71" s="125"/>
      <c r="N71" s="132"/>
      <c r="O71" s="132"/>
      <c r="P71" s="129"/>
      <c r="Q71" s="131"/>
      <c r="R71" s="59"/>
      <c r="S71" s="59"/>
      <c r="AA71">
        <v>89.268292682926813</v>
      </c>
      <c r="AB71">
        <v>0.12454831792756002</v>
      </c>
      <c r="AC71">
        <v>0</v>
      </c>
      <c r="AD71">
        <v>2274.5933285485958</v>
      </c>
      <c r="AE71">
        <v>331.48593833581862</v>
      </c>
      <c r="AF71">
        <v>51.698882387099403</v>
      </c>
      <c r="AG71">
        <v>124.99557792471427</v>
      </c>
      <c r="AH71">
        <v>22.90832692914978</v>
      </c>
      <c r="AI71">
        <v>712.39607571834927</v>
      </c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</row>
    <row r="72" spans="1:54" ht="15.75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122"/>
      <c r="M72" s="125"/>
      <c r="N72" s="128"/>
      <c r="O72" s="128"/>
      <c r="P72" s="129"/>
      <c r="Q72" s="131"/>
      <c r="R72" s="59"/>
      <c r="S72" s="59"/>
      <c r="AA72">
        <v>97.292682926829258</v>
      </c>
      <c r="AB72">
        <v>0.1261244436906746</v>
      </c>
      <c r="AC72">
        <v>0</v>
      </c>
      <c r="AD72">
        <v>2248.7951119579593</v>
      </c>
      <c r="AE72">
        <v>332.68520807181881</v>
      </c>
      <c r="AF72">
        <v>53.52068940372736</v>
      </c>
      <c r="AG72">
        <v>125.04043462378885</v>
      </c>
      <c r="AH72">
        <v>23.412093326002459</v>
      </c>
      <c r="AI72">
        <v>699.82231652546625</v>
      </c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</row>
    <row r="73" spans="1:54" ht="15.75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122"/>
      <c r="M73" s="125"/>
      <c r="N73" s="133"/>
      <c r="O73" s="125"/>
      <c r="P73" s="134"/>
      <c r="Q73" s="135"/>
      <c r="R73" s="59"/>
      <c r="S73" s="59"/>
      <c r="AA73">
        <v>105.3170731707317</v>
      </c>
      <c r="AB73">
        <v>0.12761876741257802</v>
      </c>
      <c r="AC73">
        <v>0</v>
      </c>
      <c r="AD73">
        <v>2225.7535756900174</v>
      </c>
      <c r="AE73">
        <v>333.75621092815118</v>
      </c>
      <c r="AF73">
        <v>55.347225511259786</v>
      </c>
      <c r="AG73">
        <v>125.08385326328359</v>
      </c>
      <c r="AH73">
        <v>23.910084489558219</v>
      </c>
      <c r="AI73">
        <v>688.52930482885256</v>
      </c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</row>
    <row r="74" spans="1:54" ht="15.75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122"/>
      <c r="M74" s="136"/>
      <c r="N74" s="137"/>
      <c r="O74" s="125"/>
      <c r="P74" s="125"/>
      <c r="Q74" s="135"/>
      <c r="R74" s="59"/>
      <c r="S74" s="59"/>
      <c r="AA74">
        <v>113.34146341463413</v>
      </c>
      <c r="AB74">
        <v>0.12903616313855695</v>
      </c>
      <c r="AC74">
        <v>0</v>
      </c>
      <c r="AD74">
        <v>2205.1640221062112</v>
      </c>
      <c r="AE74">
        <v>334.71201297593683</v>
      </c>
      <c r="AF74">
        <v>57.177998170432453</v>
      </c>
      <c r="AG74">
        <v>125.12595985718271</v>
      </c>
      <c r="AH74">
        <v>24.402841609882941</v>
      </c>
      <c r="AI74">
        <v>678.38653581011852</v>
      </c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</row>
    <row r="75" spans="1:54" ht="15.75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122"/>
      <c r="M75" s="136"/>
      <c r="N75" s="137"/>
      <c r="O75" s="125"/>
      <c r="P75" s="125"/>
      <c r="Q75" s="135"/>
      <c r="R75" s="59"/>
      <c r="S75" s="59"/>
      <c r="AA75">
        <v>121.36585365853657</v>
      </c>
      <c r="AB75">
        <v>0.13038124890809147</v>
      </c>
      <c r="AC75">
        <v>0</v>
      </c>
      <c r="AD75">
        <v>2186.7455131892798</v>
      </c>
      <c r="AE75">
        <v>335.56486541502642</v>
      </c>
      <c r="AF75">
        <v>59.01255559334853</v>
      </c>
      <c r="AG75">
        <v>125.16687005388012</v>
      </c>
      <c r="AH75">
        <v>24.890858539103</v>
      </c>
      <c r="AI75">
        <v>669.27172122707793</v>
      </c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</row>
    <row r="76" spans="1:54" ht="15.75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122"/>
      <c r="M76" s="136"/>
      <c r="N76" s="138"/>
      <c r="O76" s="125"/>
      <c r="P76" s="125"/>
      <c r="Q76" s="135"/>
      <c r="R76" s="59"/>
      <c r="S76" s="59"/>
      <c r="AA76">
        <v>129.39024390243901</v>
      </c>
      <c r="AB76">
        <v>0.13165221040650199</v>
      </c>
      <c r="AC76">
        <v>0</v>
      </c>
      <c r="AD76">
        <v>2170.3962600248933</v>
      </c>
      <c r="AE76">
        <v>336.31868943641859</v>
      </c>
      <c r="AF76">
        <v>60.850771266807101</v>
      </c>
      <c r="AG76">
        <v>125.20659378560238</v>
      </c>
      <c r="AH76">
        <v>25.374209269017555</v>
      </c>
      <c r="AI76">
        <v>661.14592984163562</v>
      </c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</row>
    <row r="77" spans="1:54" ht="15.75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122"/>
      <c r="M77" s="136"/>
      <c r="N77" s="138"/>
      <c r="O77" s="135"/>
      <c r="P77" s="135"/>
      <c r="Q77" s="135"/>
      <c r="R77" s="59"/>
      <c r="S77" s="59"/>
      <c r="AA77">
        <v>137.41463414634146</v>
      </c>
      <c r="AB77">
        <v>0.13284791006244981</v>
      </c>
      <c r="AC77">
        <v>0</v>
      </c>
      <c r="AD77">
        <v>2155.9477118958894</v>
      </c>
      <c r="AE77">
        <v>336.98078529049667</v>
      </c>
      <c r="AF77">
        <v>62.692454236039758</v>
      </c>
      <c r="AG77">
        <v>125.24515526505142</v>
      </c>
      <c r="AH77">
        <v>25.853018918753211</v>
      </c>
      <c r="AI77">
        <v>653.93711270782819</v>
      </c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</row>
    <row r="78" spans="1:54" x14ac:dyDescent="0.25">
      <c r="L78" s="118"/>
      <c r="M78" s="119"/>
      <c r="N78" s="119"/>
      <c r="O78" s="119"/>
      <c r="P78" s="119"/>
      <c r="Q78" s="119"/>
      <c r="AA78">
        <v>145.4390243902439</v>
      </c>
      <c r="AB78">
        <v>0.1339872209559777</v>
      </c>
      <c r="AC78">
        <v>0</v>
      </c>
      <c r="AD78">
        <v>2142.7862778418807</v>
      </c>
      <c r="AE78">
        <v>337.58049918940509</v>
      </c>
      <c r="AF78">
        <v>64.536604503012256</v>
      </c>
      <c r="AG78">
        <v>125.28286722172585</v>
      </c>
      <c r="AH78">
        <v>26.328513769576794</v>
      </c>
      <c r="AI78">
        <v>647.35306087979689</v>
      </c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</row>
    <row r="79" spans="1:54" x14ac:dyDescent="0.25">
      <c r="L79" s="118"/>
      <c r="M79" s="119"/>
      <c r="N79" s="120"/>
      <c r="O79" s="120"/>
      <c r="P79" s="121"/>
      <c r="Q79" s="119"/>
      <c r="AA79">
        <v>153.46341463414632</v>
      </c>
      <c r="AB79">
        <v>0.13507373271737616</v>
      </c>
      <c r="AC79">
        <v>0</v>
      </c>
      <c r="AD79">
        <v>2130.7307361965936</v>
      </c>
      <c r="AE79">
        <v>338.12657730572386</v>
      </c>
      <c r="AF79">
        <v>66.383000840256642</v>
      </c>
      <c r="AG79">
        <v>125.31979370451343</v>
      </c>
      <c r="AH79">
        <v>26.800933432793727</v>
      </c>
      <c r="AI79">
        <v>641.30746804733656</v>
      </c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</row>
    <row r="80" spans="1:54" x14ac:dyDescent="0.25">
      <c r="L80" s="118"/>
      <c r="N80" s="103"/>
      <c r="O80" s="103"/>
      <c r="P80" s="102"/>
      <c r="AA80">
        <v>161.48780487804876</v>
      </c>
      <c r="AB80">
        <v>0.13611095275332655</v>
      </c>
      <c r="AC80">
        <v>0</v>
      </c>
      <c r="AD80">
        <v>2119.6081211288906</v>
      </c>
      <c r="AE80">
        <v>338.62746804773082</v>
      </c>
      <c r="AF80">
        <v>68.231450591459776</v>
      </c>
      <c r="AG80">
        <v>125.35599338168713</v>
      </c>
      <c r="AH80">
        <v>27.270487707507321</v>
      </c>
      <c r="AI80">
        <v>635.71716157946605</v>
      </c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</row>
    <row r="81" spans="12:54" x14ac:dyDescent="0.25">
      <c r="L81" s="118"/>
      <c r="N81" s="103"/>
      <c r="O81" s="103"/>
      <c r="P81" s="102"/>
      <c r="AA81">
        <v>169.51219512195121</v>
      </c>
      <c r="AB81">
        <v>0.13709903702043189</v>
      </c>
      <c r="AC81">
        <v>0</v>
      </c>
      <c r="AD81">
        <v>2109.2957764340758</v>
      </c>
      <c r="AE81">
        <v>339.08933770807238</v>
      </c>
      <c r="AF81">
        <v>70.081928043040634</v>
      </c>
      <c r="AG81">
        <v>125.39147095113401</v>
      </c>
      <c r="AH81">
        <v>27.737156049945071</v>
      </c>
      <c r="AI81">
        <v>630.52257279344326</v>
      </c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</row>
    <row r="82" spans="12:54" x14ac:dyDescent="0.25">
      <c r="L82" s="118"/>
      <c r="N82" s="103"/>
      <c r="O82" s="103"/>
      <c r="P82" s="102"/>
      <c r="AA82">
        <v>177.53658536585363</v>
      </c>
      <c r="AB82">
        <v>0.13803657162970473</v>
      </c>
      <c r="AC82">
        <v>0</v>
      </c>
      <c r="AD82">
        <v>2099.6370642805782</v>
      </c>
      <c r="AE82">
        <v>339.52041532204913</v>
      </c>
      <c r="AF82">
        <v>71.934546277701926</v>
      </c>
      <c r="AG82">
        <v>125.42619656283819</v>
      </c>
      <c r="AH82">
        <v>28.20072198720127</v>
      </c>
      <c r="AI82">
        <v>625.64557394872384</v>
      </c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</row>
    <row r="83" spans="12:54" x14ac:dyDescent="0.25">
      <c r="L83" s="118"/>
      <c r="N83" s="103"/>
      <c r="O83" s="103"/>
      <c r="P83" s="102"/>
      <c r="AA83">
        <v>185.56097560975607</v>
      </c>
      <c r="AB83">
        <v>0.13893791309771791</v>
      </c>
      <c r="AC83">
        <v>0</v>
      </c>
      <c r="AD83">
        <v>2090.3092908639383</v>
      </c>
      <c r="AE83">
        <v>339.93676378879661</v>
      </c>
      <c r="AF83">
        <v>73.788804364360658</v>
      </c>
      <c r="AG83">
        <v>125.46036760821787</v>
      </c>
      <c r="AH83">
        <v>28.661897076280052</v>
      </c>
      <c r="AI83">
        <v>620.92645308734132</v>
      </c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</row>
    <row r="84" spans="12:54" x14ac:dyDescent="0.25">
      <c r="L84" s="118"/>
      <c r="N84" s="103"/>
      <c r="O84" s="103"/>
      <c r="P84" s="102"/>
      <c r="AA84">
        <v>193.58536585365852</v>
      </c>
      <c r="AB84">
        <v>0.13980620114489828</v>
      </c>
      <c r="AC84">
        <v>0</v>
      </c>
      <c r="AD84">
        <v>2081.1780341599224</v>
      </c>
      <c r="AE84">
        <v>340.34541987140136</v>
      </c>
      <c r="AF84">
        <v>75.64468639436852</v>
      </c>
      <c r="AG84">
        <v>125.49401389322031</v>
      </c>
      <c r="AH84">
        <v>29.120713286462337</v>
      </c>
      <c r="AI84">
        <v>616.29713890375422</v>
      </c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</row>
    <row r="85" spans="12:54" x14ac:dyDescent="0.25">
      <c r="L85" s="118"/>
      <c r="N85" s="103"/>
      <c r="O85" s="103"/>
      <c r="P85" s="103"/>
      <c r="AA85">
        <v>201.60975609756096</v>
      </c>
      <c r="AB85">
        <v>0.14064454085130781</v>
      </c>
      <c r="AC85">
        <v>0</v>
      </c>
      <c r="AD85">
        <v>2072.1129136429959</v>
      </c>
      <c r="AE85">
        <v>340.75326839609448</v>
      </c>
      <c r="AF85">
        <v>77.502199953957088</v>
      </c>
      <c r="AG85">
        <v>125.52716197142388</v>
      </c>
      <c r="AH85">
        <v>29.577179855426692</v>
      </c>
      <c r="AI85">
        <v>611.6912042994453</v>
      </c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12:54" x14ac:dyDescent="0.25">
      <c r="L86" s="118"/>
      <c r="N86" s="104"/>
      <c r="O86" s="104"/>
      <c r="P86" s="102"/>
      <c r="Q86" s="102"/>
      <c r="AA86">
        <v>209.63414634146341</v>
      </c>
      <c r="AB86">
        <v>0.14145466423514119</v>
      </c>
      <c r="AC86">
        <v>0</v>
      </c>
      <c r="AD86">
        <v>2062.9726051068737</v>
      </c>
      <c r="AE86">
        <v>341.16801531659985</v>
      </c>
      <c r="AF86">
        <v>79.361484070413795</v>
      </c>
      <c r="AG86">
        <v>125.55980810076476</v>
      </c>
      <c r="AH86">
        <v>30.031134915469092</v>
      </c>
      <c r="AI86">
        <v>607.03547990535196</v>
      </c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  <row r="87" spans="12:54" x14ac:dyDescent="0.25">
      <c r="L87" s="118"/>
      <c r="N87" s="104"/>
      <c r="O87" s="104"/>
      <c r="P87" s="102"/>
      <c r="AA87">
        <v>217.65853658536582</v>
      </c>
      <c r="AB87">
        <v>0.14223672423057396</v>
      </c>
      <c r="AC87">
        <v>0</v>
      </c>
      <c r="AD87">
        <v>2053.5280851046841</v>
      </c>
      <c r="AE87">
        <v>341.60264227411562</v>
      </c>
      <c r="AF87">
        <v>81.223026146543873</v>
      </c>
      <c r="AG87">
        <v>125.59188748456107</v>
      </c>
      <c r="AH87">
        <v>30.481985002371054</v>
      </c>
      <c r="AI87">
        <v>602.20889486492638</v>
      </c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</row>
    <row r="88" spans="12:54" x14ac:dyDescent="0.25">
      <c r="L88" s="118"/>
      <c r="N88" s="104"/>
      <c r="O88" s="104"/>
      <c r="P88" s="102"/>
      <c r="AA88">
        <v>225.68292682926827</v>
      </c>
      <c r="AB88">
        <v>0.14300037302982702</v>
      </c>
      <c r="AC88">
        <v>0</v>
      </c>
      <c r="AD88">
        <v>2043.7843157558273</v>
      </c>
      <c r="AE88">
        <v>342.05630073766673</v>
      </c>
      <c r="AF88">
        <v>83.086480685998424</v>
      </c>
      <c r="AG88">
        <v>125.62353665461266</v>
      </c>
      <c r="AH88">
        <v>30.930283289567399</v>
      </c>
      <c r="AI88">
        <v>597.21565949143542</v>
      </c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</row>
    <row r="89" spans="12:54" x14ac:dyDescent="0.25">
      <c r="L89" s="118"/>
      <c r="N89" s="104"/>
      <c r="O89" s="104"/>
      <c r="P89" s="102"/>
      <c r="AA89">
        <v>233.70731707317071</v>
      </c>
      <c r="AB89">
        <v>0.14374791665607045</v>
      </c>
      <c r="AC89">
        <v>0</v>
      </c>
      <c r="AD89">
        <v>2033.7470452530054</v>
      </c>
      <c r="AE89">
        <v>342.5287889155897</v>
      </c>
      <c r="AF89">
        <v>84.951937166779658</v>
      </c>
      <c r="AG89">
        <v>125.65476618882285</v>
      </c>
      <c r="AH89">
        <v>31.375961759577798</v>
      </c>
      <c r="AI89">
        <v>592.05778512608174</v>
      </c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</row>
    <row r="90" spans="12:54" x14ac:dyDescent="0.25">
      <c r="L90" s="118"/>
      <c r="N90" s="103"/>
      <c r="O90" s="103"/>
      <c r="P90" s="102"/>
      <c r="AA90">
        <v>241.73170731707313</v>
      </c>
      <c r="AB90">
        <v>0.14448147427282659</v>
      </c>
      <c r="AC90">
        <v>0</v>
      </c>
      <c r="AD90">
        <v>2023.4272637220613</v>
      </c>
      <c r="AE90">
        <v>343.01962133698549</v>
      </c>
      <c r="AF90">
        <v>86.819483154287624</v>
      </c>
      <c r="AG90">
        <v>125.6855861378809</v>
      </c>
      <c r="AH90">
        <v>31.818954420985218</v>
      </c>
      <c r="AI90">
        <v>586.74000181681731</v>
      </c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</row>
    <row r="91" spans="12:54" x14ac:dyDescent="0.25">
      <c r="L91" s="118"/>
      <c r="N91" s="104"/>
      <c r="O91" s="104"/>
      <c r="P91" s="102"/>
      <c r="AA91">
        <v>249.75609756097558</v>
      </c>
      <c r="AB91">
        <v>0.14520259650754147</v>
      </c>
      <c r="AC91">
        <v>0</v>
      </c>
      <c r="AD91">
        <v>2012.8264473198949</v>
      </c>
      <c r="AE91">
        <v>343.52896031806728</v>
      </c>
      <c r="AF91">
        <v>88.689297052384234</v>
      </c>
      <c r="AG91">
        <v>125.71599056160599</v>
      </c>
      <c r="AH91">
        <v>32.259082750916306</v>
      </c>
      <c r="AI91">
        <v>581.26149127268161</v>
      </c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</row>
    <row r="92" spans="12:54" x14ac:dyDescent="0.25">
      <c r="L92" s="118"/>
      <c r="P92" s="102"/>
      <c r="AA92">
        <v>257.78048780487802</v>
      </c>
      <c r="AB92">
        <v>0.14591145353792204</v>
      </c>
      <c r="AC92">
        <v>0</v>
      </c>
      <c r="AD92">
        <v>2001.9003010994991</v>
      </c>
      <c r="AE92">
        <v>344.06018461602315</v>
      </c>
      <c r="AF92">
        <v>90.562071016863214</v>
      </c>
      <c r="AG92">
        <v>125.7458972903686</v>
      </c>
      <c r="AH92">
        <v>32.695555471972177</v>
      </c>
      <c r="AI92">
        <v>575.59402940061989</v>
      </c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</row>
    <row r="93" spans="12:54" x14ac:dyDescent="0.25">
      <c r="L93" s="118"/>
      <c r="N93" s="104"/>
      <c r="AA93">
        <v>265.80487804878044</v>
      </c>
      <c r="AB93">
        <v>0.14661275257747533</v>
      </c>
      <c r="AC93">
        <v>0</v>
      </c>
      <c r="AD93">
        <v>1990.7375931496749</v>
      </c>
      <c r="AE93">
        <v>344.6076838219355</v>
      </c>
      <c r="AF93">
        <v>92.437257293533889</v>
      </c>
      <c r="AG93">
        <v>125.775427647806</v>
      </c>
      <c r="AH93">
        <v>33.129106740632793</v>
      </c>
      <c r="AI93">
        <v>569.78696325903627</v>
      </c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</row>
    <row r="94" spans="12:54" x14ac:dyDescent="0.25">
      <c r="L94" s="118"/>
      <c r="N94" s="104"/>
      <c r="AA94">
        <v>273.82926829268291</v>
      </c>
      <c r="AB94">
        <v>0.14730769159426374</v>
      </c>
      <c r="AC94">
        <v>0</v>
      </c>
      <c r="AD94">
        <v>1979.3496506433773</v>
      </c>
      <c r="AE94">
        <v>345.17094329274329</v>
      </c>
      <c r="AF94">
        <v>94.314930384703729</v>
      </c>
      <c r="AG94">
        <v>125.80458822888806</v>
      </c>
      <c r="AH94">
        <v>33.559684445804066</v>
      </c>
      <c r="AI94">
        <v>563.84539298035622</v>
      </c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</row>
    <row r="95" spans="12:54" x14ac:dyDescent="0.25">
      <c r="L95" s="118"/>
      <c r="N95" s="105"/>
      <c r="AA95">
        <v>281.85365853658533</v>
      </c>
      <c r="AB95">
        <v>0.14799737928664761</v>
      </c>
      <c r="AC95">
        <v>0</v>
      </c>
      <c r="AD95">
        <v>1967.747699516558</v>
      </c>
      <c r="AE95">
        <v>345.74945126681462</v>
      </c>
      <c r="AF95">
        <v>96.195162938670208</v>
      </c>
      <c r="AG95">
        <v>125.83338524396193</v>
      </c>
      <c r="AH95">
        <v>33.987238447302083</v>
      </c>
      <c r="AI95">
        <v>557.77440297518194</v>
      </c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</row>
    <row r="96" spans="12:54" x14ac:dyDescent="0.25">
      <c r="L96" s="118"/>
      <c r="N96" s="105"/>
      <c r="AA96">
        <v>289.8780487804878</v>
      </c>
      <c r="AB96">
        <v>0.14868277757218648</v>
      </c>
      <c r="AC96">
        <v>0</v>
      </c>
      <c r="AD96">
        <v>1955.9391050267168</v>
      </c>
      <c r="AE96">
        <v>346.34298075426773</v>
      </c>
      <c r="AF96">
        <v>98.078080832031802</v>
      </c>
      <c r="AG96">
        <v>125.86181746923126</v>
      </c>
      <c r="AH96">
        <v>34.411657287534631</v>
      </c>
      <c r="AI96">
        <v>551.57670773880136</v>
      </c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</row>
    <row r="97" spans="27:54" x14ac:dyDescent="0.25">
      <c r="AA97">
        <v>297.90243902439022</v>
      </c>
      <c r="AB97">
        <v>0.14936437598280669</v>
      </c>
      <c r="AC97">
        <v>0</v>
      </c>
      <c r="AD97">
        <v>1943.8869840036541</v>
      </c>
      <c r="AE97">
        <v>346.9547740148281</v>
      </c>
      <c r="AF97">
        <v>99.964567958213948</v>
      </c>
      <c r="AG97">
        <v>125.88979259925792</v>
      </c>
      <c r="AH97">
        <v>34.831975153114485</v>
      </c>
      <c r="AI97">
        <v>545.22649138609654</v>
      </c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</row>
    <row r="98" spans="27:54" x14ac:dyDescent="0.25">
      <c r="AA98">
        <v>305.92682926829264</v>
      </c>
      <c r="AB98">
        <v>0.15004415837822224</v>
      </c>
      <c r="AC98">
        <v>0</v>
      </c>
      <c r="AD98">
        <v>1931.6639005598747</v>
      </c>
      <c r="AE98">
        <v>347.5798288144984</v>
      </c>
      <c r="AF98">
        <v>101.85387978119461</v>
      </c>
      <c r="AG98">
        <v>125.91742463229527</v>
      </c>
      <c r="AH98">
        <v>35.249094820899977</v>
      </c>
      <c r="AI98">
        <v>538.7667524754371</v>
      </c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</row>
    <row r="99" spans="27:54" x14ac:dyDescent="0.25">
      <c r="AA99">
        <v>313.95121951219511</v>
      </c>
      <c r="AB99">
        <v>0.15072277465434517</v>
      </c>
      <c r="AC99">
        <v>0</v>
      </c>
      <c r="AD99">
        <v>1919.2801795056644</v>
      </c>
      <c r="AE99">
        <v>348.2176605005817</v>
      </c>
      <c r="AF99">
        <v>103.74607671972709</v>
      </c>
      <c r="AG99">
        <v>125.94471778915621</v>
      </c>
      <c r="AH99">
        <v>35.662979061997724</v>
      </c>
      <c r="AI99">
        <v>532.20238730938809</v>
      </c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</row>
    <row r="100" spans="27:54" x14ac:dyDescent="0.25">
      <c r="AA100">
        <v>321.97560975609753</v>
      </c>
      <c r="AB100">
        <v>0.15140082836049507</v>
      </c>
      <c r="AC100">
        <v>0</v>
      </c>
      <c r="AD100">
        <v>1906.7459820973818</v>
      </c>
      <c r="AE100">
        <v>348.86778959422213</v>
      </c>
      <c r="AF100">
        <v>105.64121748875536</v>
      </c>
      <c r="AG100">
        <v>125.97167609106171</v>
      </c>
      <c r="AH100">
        <v>36.073592422444364</v>
      </c>
      <c r="AI100">
        <v>525.53825180028457</v>
      </c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</row>
    <row r="101" spans="27:54" x14ac:dyDescent="0.25">
      <c r="AA101">
        <v>330</v>
      </c>
      <c r="AB101">
        <v>0.15207887714618076</v>
      </c>
      <c r="AC101">
        <v>0</v>
      </c>
      <c r="AD101">
        <v>1894.0713053343634</v>
      </c>
      <c r="AE101">
        <v>349.52974181868058</v>
      </c>
      <c r="AF101">
        <v>107.53935910181501</v>
      </c>
      <c r="AG101">
        <v>125.99830336165959</v>
      </c>
      <c r="AH101">
        <v>36.480901219969873</v>
      </c>
      <c r="AI101">
        <v>518.77916117141206</v>
      </c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</row>
    <row r="102" spans="27:54" x14ac:dyDescent="0.25"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</row>
    <row r="103" spans="27:54" x14ac:dyDescent="0.25"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</row>
    <row r="104" spans="27:54" x14ac:dyDescent="0.25"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</row>
    <row r="105" spans="27:54" x14ac:dyDescent="0.25"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</row>
    <row r="106" spans="27:54" x14ac:dyDescent="0.25"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</row>
    <row r="107" spans="27:54" x14ac:dyDescent="0.25"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</row>
    <row r="108" spans="27:54" x14ac:dyDescent="0.25"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</row>
    <row r="109" spans="27:54" x14ac:dyDescent="0.25"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</row>
    <row r="110" spans="27:54" x14ac:dyDescent="0.25"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</row>
    <row r="111" spans="27:54" x14ac:dyDescent="0.25"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</row>
    <row r="112" spans="27:54" x14ac:dyDescent="0.25"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</row>
    <row r="113" spans="36:54" x14ac:dyDescent="0.25"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</row>
    <row r="114" spans="36:54" x14ac:dyDescent="0.25"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</row>
    <row r="115" spans="36:54" x14ac:dyDescent="0.25"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</row>
    <row r="116" spans="36:54" x14ac:dyDescent="0.25"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</row>
    <row r="117" spans="36:54" x14ac:dyDescent="0.25"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</row>
    <row r="118" spans="36:54" x14ac:dyDescent="0.25"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</row>
    <row r="119" spans="36:54" x14ac:dyDescent="0.25"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</row>
    <row r="120" spans="36:54" x14ac:dyDescent="0.25"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</row>
    <row r="121" spans="36:54" x14ac:dyDescent="0.25"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</row>
    <row r="122" spans="36:54" x14ac:dyDescent="0.25"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</row>
    <row r="123" spans="36:54" x14ac:dyDescent="0.25"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</row>
    <row r="124" spans="36:54" x14ac:dyDescent="0.25"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</row>
    <row r="125" spans="36:54" x14ac:dyDescent="0.25"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</row>
    <row r="126" spans="36:54" x14ac:dyDescent="0.25"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</row>
    <row r="127" spans="36:54" x14ac:dyDescent="0.25"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</row>
    <row r="128" spans="36:54" x14ac:dyDescent="0.25"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</row>
    <row r="129" spans="36:54" x14ac:dyDescent="0.25"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</row>
    <row r="130" spans="36:54" x14ac:dyDescent="0.25"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</row>
    <row r="131" spans="36:54" x14ac:dyDescent="0.25"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</row>
    <row r="132" spans="36:54" x14ac:dyDescent="0.25"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</row>
    <row r="133" spans="36:54" x14ac:dyDescent="0.25"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</row>
    <row r="134" spans="36:54" x14ac:dyDescent="0.25"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</row>
    <row r="135" spans="36:54" x14ac:dyDescent="0.25"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</row>
    <row r="136" spans="36:54" x14ac:dyDescent="0.25"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</row>
    <row r="137" spans="36:54" x14ac:dyDescent="0.25"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</row>
    <row r="138" spans="36:54" x14ac:dyDescent="0.25"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</row>
    <row r="139" spans="36:54" x14ac:dyDescent="0.25"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</row>
    <row r="140" spans="36:54" x14ac:dyDescent="0.25"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</row>
    <row r="141" spans="36:54" x14ac:dyDescent="0.25"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</row>
    <row r="142" spans="36:54" x14ac:dyDescent="0.25"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</row>
    <row r="143" spans="36:54" x14ac:dyDescent="0.25"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</row>
    <row r="144" spans="36:54" x14ac:dyDescent="0.25"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</row>
    <row r="145" spans="36:54" x14ac:dyDescent="0.25"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</row>
    <row r="146" spans="36:54" x14ac:dyDescent="0.25"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</row>
    <row r="147" spans="36:54" x14ac:dyDescent="0.25"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</row>
    <row r="148" spans="36:54" x14ac:dyDescent="0.25"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</row>
    <row r="149" spans="36:54" x14ac:dyDescent="0.25"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</row>
    <row r="150" spans="36:54" x14ac:dyDescent="0.25"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</row>
    <row r="151" spans="36:54" x14ac:dyDescent="0.25"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</row>
    <row r="152" spans="36:54" x14ac:dyDescent="0.25"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</row>
    <row r="153" spans="36:54" x14ac:dyDescent="0.25"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</row>
    <row r="154" spans="36:54" x14ac:dyDescent="0.25"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</row>
    <row r="155" spans="36:54" x14ac:dyDescent="0.25"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</row>
    <row r="156" spans="36:54" x14ac:dyDescent="0.25"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</row>
    <row r="157" spans="36:54" x14ac:dyDescent="0.25"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</row>
    <row r="158" spans="36:54" x14ac:dyDescent="0.25"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</row>
    <row r="159" spans="36:54" x14ac:dyDescent="0.25"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</row>
    <row r="160" spans="36:54" x14ac:dyDescent="0.25"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</row>
    <row r="161" spans="36:54" x14ac:dyDescent="0.25"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</row>
    <row r="162" spans="36:54" x14ac:dyDescent="0.25"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</row>
    <row r="163" spans="36:54" x14ac:dyDescent="0.25"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</row>
    <row r="164" spans="36:54" x14ac:dyDescent="0.25"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</row>
    <row r="165" spans="36:54" x14ac:dyDescent="0.25"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</row>
    <row r="166" spans="36:54" x14ac:dyDescent="0.25"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</row>
    <row r="167" spans="36:54" x14ac:dyDescent="0.25"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</row>
    <row r="168" spans="36:54" x14ac:dyDescent="0.25"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</row>
    <row r="169" spans="36:54" x14ac:dyDescent="0.25"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</row>
    <row r="170" spans="36:54" x14ac:dyDescent="0.25"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</row>
    <row r="171" spans="36:54" x14ac:dyDescent="0.25"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</row>
    <row r="172" spans="36:54" x14ac:dyDescent="0.25"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</row>
    <row r="173" spans="36:54" x14ac:dyDescent="0.25"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</row>
    <row r="174" spans="36:54" x14ac:dyDescent="0.25"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</row>
    <row r="175" spans="36:54" x14ac:dyDescent="0.25"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</row>
    <row r="176" spans="36:54" x14ac:dyDescent="0.25"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</row>
    <row r="177" spans="36:54" x14ac:dyDescent="0.25"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</row>
    <row r="178" spans="36:54" x14ac:dyDescent="0.25"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</row>
    <row r="179" spans="36:54" x14ac:dyDescent="0.25"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</row>
    <row r="180" spans="36:54" x14ac:dyDescent="0.25"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</row>
    <row r="181" spans="36:54" x14ac:dyDescent="0.25"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</row>
    <row r="182" spans="36:54" x14ac:dyDescent="0.25"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</row>
    <row r="183" spans="36:54" x14ac:dyDescent="0.25"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</row>
    <row r="184" spans="36:54" x14ac:dyDescent="0.25"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</row>
    <row r="185" spans="36:54" x14ac:dyDescent="0.25"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</row>
    <row r="186" spans="36:54" x14ac:dyDescent="0.25"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</row>
    <row r="187" spans="36:54" x14ac:dyDescent="0.25"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</row>
    <row r="188" spans="36:54" x14ac:dyDescent="0.25"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</row>
    <row r="189" spans="36:54" x14ac:dyDescent="0.25"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</row>
    <row r="190" spans="36:54" x14ac:dyDescent="0.25"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</row>
    <row r="191" spans="36:54" x14ac:dyDescent="0.25"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</row>
    <row r="192" spans="36:54" x14ac:dyDescent="0.25"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</row>
    <row r="193" spans="36:54" x14ac:dyDescent="0.25"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</row>
    <row r="194" spans="36:54" x14ac:dyDescent="0.25"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</row>
    <row r="195" spans="36:54" x14ac:dyDescent="0.25"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</row>
    <row r="196" spans="36:54" x14ac:dyDescent="0.25"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</row>
    <row r="197" spans="36:54" x14ac:dyDescent="0.25"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</row>
    <row r="198" spans="36:54" x14ac:dyDescent="0.25"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</row>
    <row r="199" spans="36:54" x14ac:dyDescent="0.25"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</row>
    <row r="200" spans="36:54" x14ac:dyDescent="0.25"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</row>
    <row r="201" spans="36:54" x14ac:dyDescent="0.25"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</row>
    <row r="202" spans="36:54" x14ac:dyDescent="0.25"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</row>
    <row r="203" spans="36:54" x14ac:dyDescent="0.25"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</row>
    <row r="204" spans="36:54" x14ac:dyDescent="0.25"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</row>
    <row r="205" spans="36:54" x14ac:dyDescent="0.25"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</row>
    <row r="1539" spans="19:19" x14ac:dyDescent="0.25">
      <c r="S1539">
        <f>[0]!mu_emulsion_mpas(20,15)</f>
        <v>1152.2</v>
      </c>
    </row>
  </sheetData>
  <dataConsolidate link="1"/>
  <mergeCells count="16">
    <mergeCell ref="C3:D3"/>
    <mergeCell ref="G3:I3"/>
    <mergeCell ref="L3:M3"/>
    <mergeCell ref="L1:M1"/>
    <mergeCell ref="Q67:Q72"/>
    <mergeCell ref="L60:L77"/>
    <mergeCell ref="L41:L58"/>
    <mergeCell ref="L78:L96"/>
    <mergeCell ref="AS57:BA57"/>
    <mergeCell ref="AS55:BB55"/>
    <mergeCell ref="V1:AA1"/>
    <mergeCell ref="AA57:AI57"/>
    <mergeCell ref="AJ57:AR57"/>
    <mergeCell ref="P1:U1"/>
    <mergeCell ref="Q48:Q53"/>
    <mergeCell ref="AB1:A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19</xdr:col>
                    <xdr:colOff>457200</xdr:colOff>
                    <xdr:row>16</xdr:row>
                    <xdr:rowOff>47625</xdr:rowOff>
                  </from>
                  <to>
                    <xdr:col>25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19</xdr:col>
                    <xdr:colOff>400050</xdr:colOff>
                    <xdr:row>26</xdr:row>
                    <xdr:rowOff>114300</xdr:rowOff>
                  </from>
                  <to>
                    <xdr:col>24</xdr:col>
                    <xdr:colOff>2238375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38100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9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13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Drop Down 22">
              <controlPr defaultSize="0" autoLine="0" autoPict="0">
                <anchor moveWithCells="1">
                  <from>
                    <xdr:col>11</xdr:col>
                    <xdr:colOff>9525</xdr:colOff>
                    <xdr:row>0</xdr:row>
                    <xdr:rowOff>209550</xdr:rowOff>
                  </from>
                  <to>
                    <xdr:col>13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M107"/>
  <sheetViews>
    <sheetView workbookViewId="0">
      <selection activeCell="M17" sqref="M17"/>
    </sheetView>
  </sheetViews>
  <sheetFormatPr defaultRowHeight="15" x14ac:dyDescent="0.25"/>
  <sheetData>
    <row r="3" spans="2:13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3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3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3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3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3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3" spans="2:13" x14ac:dyDescent="0.25">
      <c r="M13" t="s">
        <v>232</v>
      </c>
    </row>
    <row r="14" spans="2:13" x14ac:dyDescent="0.25">
      <c r="M14" t="s">
        <v>233</v>
      </c>
    </row>
    <row r="15" spans="2:13" x14ac:dyDescent="0.25">
      <c r="M15" t="s">
        <v>234</v>
      </c>
    </row>
    <row r="16" spans="2:13" x14ac:dyDescent="0.25">
      <c r="M16" t="s">
        <v>235</v>
      </c>
    </row>
    <row r="17" spans="13:13" x14ac:dyDescent="0.25">
      <c r="M17" t="s">
        <v>236</v>
      </c>
    </row>
    <row r="18" spans="13:13" x14ac:dyDescent="0.25">
      <c r="M18" t="s">
        <v>237</v>
      </c>
    </row>
    <row r="19" spans="13:13" x14ac:dyDescent="0.25">
      <c r="M19" t="s">
        <v>238</v>
      </c>
    </row>
    <row r="20" spans="13:13" x14ac:dyDescent="0.25">
      <c r="M20" t="s">
        <v>239</v>
      </c>
    </row>
    <row r="21" spans="13:13" x14ac:dyDescent="0.25">
      <c r="M21" t="s">
        <v>240</v>
      </c>
    </row>
    <row r="22" spans="13:13" x14ac:dyDescent="0.25">
      <c r="M22" t="s">
        <v>241</v>
      </c>
    </row>
    <row r="23" spans="13:13" x14ac:dyDescent="0.25">
      <c r="M23" t="s">
        <v>242</v>
      </c>
    </row>
    <row r="24" spans="13:13" x14ac:dyDescent="0.25">
      <c r="M24" t="s">
        <v>243</v>
      </c>
    </row>
    <row r="25" spans="13:13" x14ac:dyDescent="0.25">
      <c r="M25" t="s">
        <v>244</v>
      </c>
    </row>
    <row r="26" spans="13:13" x14ac:dyDescent="0.25">
      <c r="M26" t="s">
        <v>245</v>
      </c>
    </row>
    <row r="27" spans="13:13" x14ac:dyDescent="0.25">
      <c r="M27" t="s">
        <v>246</v>
      </c>
    </row>
    <row r="28" spans="13:13" x14ac:dyDescent="0.25">
      <c r="M28" t="s">
        <v>247</v>
      </c>
    </row>
    <row r="29" spans="13:13" x14ac:dyDescent="0.25">
      <c r="M29" t="s">
        <v>248</v>
      </c>
    </row>
    <row r="30" spans="13:13" x14ac:dyDescent="0.25">
      <c r="M30" t="s">
        <v>249</v>
      </c>
    </row>
    <row r="31" spans="13:13" x14ac:dyDescent="0.25">
      <c r="M31" t="s">
        <v>250</v>
      </c>
    </row>
    <row r="32" spans="13:13" x14ac:dyDescent="0.25">
      <c r="M32" t="s">
        <v>251</v>
      </c>
    </row>
    <row r="33" spans="13:13" x14ac:dyDescent="0.25">
      <c r="M33" t="s">
        <v>252</v>
      </c>
    </row>
    <row r="34" spans="13:13" x14ac:dyDescent="0.25">
      <c r="M34" t="s">
        <v>253</v>
      </c>
    </row>
    <row r="35" spans="13:13" x14ac:dyDescent="0.25">
      <c r="M35" t="s">
        <v>254</v>
      </c>
    </row>
    <row r="36" spans="13:13" x14ac:dyDescent="0.25">
      <c r="M36" t="s">
        <v>255</v>
      </c>
    </row>
    <row r="37" spans="13:13" x14ac:dyDescent="0.25">
      <c r="M37" t="s">
        <v>256</v>
      </c>
    </row>
    <row r="38" spans="13:13" x14ac:dyDescent="0.25">
      <c r="M38" t="s">
        <v>257</v>
      </c>
    </row>
    <row r="39" spans="13:13" x14ac:dyDescent="0.25">
      <c r="M39" t="s">
        <v>258</v>
      </c>
    </row>
    <row r="40" spans="13:13" x14ac:dyDescent="0.25">
      <c r="M40" t="s">
        <v>259</v>
      </c>
    </row>
    <row r="41" spans="13:13" x14ac:dyDescent="0.25">
      <c r="M41" t="s">
        <v>260</v>
      </c>
    </row>
    <row r="42" spans="13:13" x14ac:dyDescent="0.25">
      <c r="M42" t="s">
        <v>261</v>
      </c>
    </row>
    <row r="43" spans="13:13" x14ac:dyDescent="0.25">
      <c r="M43" t="s">
        <v>262</v>
      </c>
    </row>
    <row r="44" spans="13:13" x14ac:dyDescent="0.25">
      <c r="M44" t="s">
        <v>263</v>
      </c>
    </row>
    <row r="45" spans="13:13" x14ac:dyDescent="0.25">
      <c r="M45" t="s">
        <v>264</v>
      </c>
    </row>
    <row r="46" spans="13:13" x14ac:dyDescent="0.25">
      <c r="M46" t="s">
        <v>265</v>
      </c>
    </row>
    <row r="47" spans="13:13" x14ac:dyDescent="0.25">
      <c r="M47" t="s">
        <v>266</v>
      </c>
    </row>
    <row r="48" spans="13:13" x14ac:dyDescent="0.25">
      <c r="M48" t="s">
        <v>267</v>
      </c>
    </row>
    <row r="49" spans="13:13" x14ac:dyDescent="0.25">
      <c r="M49" t="s">
        <v>268</v>
      </c>
    </row>
    <row r="50" spans="13:13" x14ac:dyDescent="0.25">
      <c r="M50" t="s">
        <v>269</v>
      </c>
    </row>
    <row r="51" spans="13:13" x14ac:dyDescent="0.25">
      <c r="M51" t="s">
        <v>270</v>
      </c>
    </row>
    <row r="52" spans="13:13" x14ac:dyDescent="0.25">
      <c r="M52" t="s">
        <v>271</v>
      </c>
    </row>
    <row r="53" spans="13:13" x14ac:dyDescent="0.25">
      <c r="M53" t="s">
        <v>272</v>
      </c>
    </row>
    <row r="54" spans="13:13" x14ac:dyDescent="0.25">
      <c r="M54" t="s">
        <v>273</v>
      </c>
    </row>
    <row r="55" spans="13:13" x14ac:dyDescent="0.25">
      <c r="M55" t="s">
        <v>274</v>
      </c>
    </row>
    <row r="56" spans="13:13" x14ac:dyDescent="0.25">
      <c r="M56" t="s">
        <v>275</v>
      </c>
    </row>
    <row r="57" spans="13:13" x14ac:dyDescent="0.25">
      <c r="M57" t="s">
        <v>276</v>
      </c>
    </row>
    <row r="58" spans="13:13" x14ac:dyDescent="0.25">
      <c r="M58" t="s">
        <v>277</v>
      </c>
    </row>
    <row r="59" spans="13:13" x14ac:dyDescent="0.25">
      <c r="M59" t="s">
        <v>278</v>
      </c>
    </row>
    <row r="60" spans="13:13" x14ac:dyDescent="0.25">
      <c r="M60" t="s">
        <v>279</v>
      </c>
    </row>
    <row r="61" spans="13:13" x14ac:dyDescent="0.25">
      <c r="M61" t="s">
        <v>280</v>
      </c>
    </row>
    <row r="62" spans="13:13" x14ac:dyDescent="0.25">
      <c r="M62" t="s">
        <v>281</v>
      </c>
    </row>
    <row r="63" spans="13:13" x14ac:dyDescent="0.25">
      <c r="M63" t="s">
        <v>282</v>
      </c>
    </row>
    <row r="64" spans="13:13" x14ac:dyDescent="0.25">
      <c r="M64" t="s">
        <v>283</v>
      </c>
    </row>
    <row r="65" spans="13:13" x14ac:dyDescent="0.25">
      <c r="M65" t="s">
        <v>284</v>
      </c>
    </row>
    <row r="66" spans="13:13" x14ac:dyDescent="0.25">
      <c r="M66" t="s">
        <v>285</v>
      </c>
    </row>
    <row r="67" spans="13:13" x14ac:dyDescent="0.25">
      <c r="M67" t="s">
        <v>286</v>
      </c>
    </row>
    <row r="68" spans="13:13" x14ac:dyDescent="0.25">
      <c r="M68" t="s">
        <v>287</v>
      </c>
    </row>
    <row r="69" spans="13:13" x14ac:dyDescent="0.25">
      <c r="M69" t="s">
        <v>288</v>
      </c>
    </row>
    <row r="70" spans="13:13" x14ac:dyDescent="0.25">
      <c r="M70" t="s">
        <v>289</v>
      </c>
    </row>
    <row r="71" spans="13:13" x14ac:dyDescent="0.25">
      <c r="M71" t="s">
        <v>290</v>
      </c>
    </row>
    <row r="72" spans="13:13" x14ac:dyDescent="0.25">
      <c r="M72" t="s">
        <v>291</v>
      </c>
    </row>
    <row r="73" spans="13:13" x14ac:dyDescent="0.25">
      <c r="M73" t="s">
        <v>292</v>
      </c>
    </row>
    <row r="74" spans="13:13" x14ac:dyDescent="0.25">
      <c r="M74" t="s">
        <v>293</v>
      </c>
    </row>
    <row r="75" spans="13:13" x14ac:dyDescent="0.25">
      <c r="M75" t="s">
        <v>294</v>
      </c>
    </row>
    <row r="76" spans="13:13" x14ac:dyDescent="0.25">
      <c r="M76" t="s">
        <v>295</v>
      </c>
    </row>
    <row r="77" spans="13:13" x14ac:dyDescent="0.25">
      <c r="M77" t="s">
        <v>296</v>
      </c>
    </row>
    <row r="78" spans="13:13" x14ac:dyDescent="0.25">
      <c r="M78" t="s">
        <v>297</v>
      </c>
    </row>
    <row r="79" spans="13:13" x14ac:dyDescent="0.25">
      <c r="M79" t="s">
        <v>298</v>
      </c>
    </row>
    <row r="80" spans="13:13" x14ac:dyDescent="0.25">
      <c r="M80" t="s">
        <v>299</v>
      </c>
    </row>
    <row r="81" spans="13:13" x14ac:dyDescent="0.25">
      <c r="M81" t="s">
        <v>299</v>
      </c>
    </row>
    <row r="82" spans="13:13" x14ac:dyDescent="0.25">
      <c r="M82" t="s">
        <v>300</v>
      </c>
    </row>
    <row r="83" spans="13:13" x14ac:dyDescent="0.25">
      <c r="M83" t="s">
        <v>294</v>
      </c>
    </row>
    <row r="84" spans="13:13" x14ac:dyDescent="0.25">
      <c r="M84" t="s">
        <v>288</v>
      </c>
    </row>
    <row r="85" spans="13:13" x14ac:dyDescent="0.25">
      <c r="M85" t="s">
        <v>282</v>
      </c>
    </row>
    <row r="86" spans="13:13" x14ac:dyDescent="0.25">
      <c r="M86" t="s">
        <v>276</v>
      </c>
    </row>
    <row r="87" spans="13:13" x14ac:dyDescent="0.25">
      <c r="M87" t="s">
        <v>270</v>
      </c>
    </row>
    <row r="88" spans="13:13" x14ac:dyDescent="0.25">
      <c r="M88" t="s">
        <v>264</v>
      </c>
    </row>
    <row r="89" spans="13:13" x14ac:dyDescent="0.25">
      <c r="M89" t="s">
        <v>258</v>
      </c>
    </row>
    <row r="90" spans="13:13" x14ac:dyDescent="0.25">
      <c r="M90" t="s">
        <v>246</v>
      </c>
    </row>
    <row r="91" spans="13:13" x14ac:dyDescent="0.25">
      <c r="M91" t="s">
        <v>234</v>
      </c>
    </row>
    <row r="92" spans="13:13" x14ac:dyDescent="0.25">
      <c r="M92" t="s">
        <v>301</v>
      </c>
    </row>
    <row r="93" spans="13:13" x14ac:dyDescent="0.25">
      <c r="M93" t="s">
        <v>233</v>
      </c>
    </row>
    <row r="94" spans="13:13" x14ac:dyDescent="0.25">
      <c r="M94" t="s">
        <v>302</v>
      </c>
    </row>
    <row r="95" spans="13:13" x14ac:dyDescent="0.25">
      <c r="M95" t="s">
        <v>302</v>
      </c>
    </row>
    <row r="96" spans="13:13" x14ac:dyDescent="0.25">
      <c r="M96" t="s">
        <v>302</v>
      </c>
    </row>
    <row r="97" spans="13:13" x14ac:dyDescent="0.25">
      <c r="M97" t="s">
        <v>302</v>
      </c>
    </row>
    <row r="98" spans="13:13" x14ac:dyDescent="0.25">
      <c r="M98" t="s">
        <v>302</v>
      </c>
    </row>
    <row r="99" spans="13:13" x14ac:dyDescent="0.25">
      <c r="M99" t="s">
        <v>302</v>
      </c>
    </row>
    <row r="100" spans="13:13" x14ac:dyDescent="0.25">
      <c r="M100" t="s">
        <v>302</v>
      </c>
    </row>
    <row r="101" spans="13:13" x14ac:dyDescent="0.25">
      <c r="M101" t="s">
        <v>302</v>
      </c>
    </row>
    <row r="102" spans="13:13" x14ac:dyDescent="0.25">
      <c r="M102" t="s">
        <v>302</v>
      </c>
    </row>
    <row r="103" spans="13:13" x14ac:dyDescent="0.25">
      <c r="M103" t="s">
        <v>302</v>
      </c>
    </row>
    <row r="104" spans="13:13" x14ac:dyDescent="0.25">
      <c r="M104" t="s">
        <v>302</v>
      </c>
    </row>
    <row r="105" spans="13:13" x14ac:dyDescent="0.25">
      <c r="M105" t="s">
        <v>302</v>
      </c>
    </row>
    <row r="106" spans="13:13" x14ac:dyDescent="0.25">
      <c r="M106" t="s">
        <v>303</v>
      </c>
    </row>
    <row r="107" spans="13:13" x14ac:dyDescent="0.25">
      <c r="M107" t="s">
        <v>304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199</vt:i4>
      </vt:variant>
    </vt:vector>
  </HeadingPairs>
  <TitlesOfParts>
    <vt:vector size="205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a1a1</vt:lpstr>
      <vt:lpstr>betta_fric_</vt:lpstr>
      <vt:lpstr>betta_grav_</vt:lpstr>
      <vt:lpstr>bo_list1_</vt:lpstr>
      <vt:lpstr>bo_list2_</vt:lpstr>
      <vt:lpstr>bo_list3_</vt:lpstr>
      <vt:lpstr>PVT!Bob_m3m3_</vt:lpstr>
      <vt:lpstr>cable_dPower_out</vt:lpstr>
      <vt:lpstr>calc_with_emulsion</vt:lpstr>
      <vt:lpstr>cor_Emulsion</vt:lpstr>
      <vt:lpstr>correlation_MF_fontan_</vt:lpstr>
      <vt:lpstr>correlation_PVT_fontan_</vt:lpstr>
      <vt:lpstr>correlation_T_fontan_</vt:lpstr>
      <vt:lpstr>cos_phi_</vt:lpstr>
      <vt:lpstr>dcas_arr_mm_</vt:lpstr>
      <vt:lpstr>dcas_mm_</vt:lpstr>
      <vt:lpstr>dcas_out_mm_</vt:lpstr>
      <vt:lpstr>dchoke_mm_</vt:lpstr>
      <vt:lpstr>dPower_CS_out</vt:lpstr>
      <vt:lpstr>dPower_GasSep_out</vt:lpstr>
      <vt:lpstr>dPower_protector_out</vt:lpstr>
      <vt:lpstr>dPower_transform_out</vt:lpstr>
      <vt:lpstr>dtub_arr_mm_</vt:lpstr>
      <vt:lpstr>dtub_mm_</vt:lpstr>
      <vt:lpstr>dtub_out_mm_</vt:lpstr>
      <vt:lpstr>eff_list_dp_</vt:lpstr>
      <vt:lpstr>eff_list_dp_bigger</vt:lpstr>
      <vt:lpstr>eff_list_dp_smaller</vt:lpstr>
      <vt:lpstr>eff_rp_list_</vt:lpstr>
      <vt:lpstr>eff_rp_list_bigger</vt:lpstr>
      <vt:lpstr>eff_rp_list_smaller</vt:lpstr>
      <vt:lpstr>EffESP_out_d</vt:lpstr>
      <vt:lpstr>efficency_ESP_total_out_d</vt:lpstr>
      <vt:lpstr>ESP_eff_list_</vt:lpstr>
      <vt:lpstr>ESP_eff_list_mu_bigger</vt:lpstr>
      <vt:lpstr>ESP_eff_list_mu_smaller</vt:lpstr>
      <vt:lpstr>ESP_freq_</vt:lpstr>
      <vt:lpstr>ESP_head_list_</vt:lpstr>
      <vt:lpstr>ESP_head_list_mu_bigger</vt:lpstr>
      <vt:lpstr>ESP_head_list_mu_smaller</vt:lpstr>
      <vt:lpstr>ESP_head_nom_</vt:lpstr>
      <vt:lpstr>ESP_ID_</vt:lpstr>
      <vt:lpstr>ESP_list_dP</vt:lpstr>
      <vt:lpstr>ESP_list_dP_bigger</vt:lpstr>
      <vt:lpstr>ESP_list_dP_smaller</vt:lpstr>
      <vt:lpstr>ESP_name_</vt:lpstr>
      <vt:lpstr>ESP_power_list_</vt:lpstr>
      <vt:lpstr>ESP_power_list_mu_bigger</vt:lpstr>
      <vt:lpstr>ESP_power_list_mu_smaller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I_out_A</vt:lpstr>
      <vt:lpstr>kek</vt:lpstr>
      <vt:lpstr>kekspeks</vt:lpstr>
      <vt:lpstr>PVT!Ksep_</vt:lpstr>
      <vt:lpstr>Load_fr_out</vt:lpstr>
      <vt:lpstr>motor_eff_fr_</vt:lpstr>
      <vt:lpstr>PVT!mu_cP_</vt:lpstr>
      <vt:lpstr>mu_cP_mix</vt:lpstr>
      <vt:lpstr>mu_cP_mix_</vt:lpstr>
      <vt:lpstr>mu_cSt</vt:lpstr>
      <vt:lpstr>mu_cSt_bigger</vt:lpstr>
      <vt:lpstr>mu_cSt_smaller</vt:lpstr>
      <vt:lpstr>MuMix_hmes_</vt:lpstr>
      <vt:lpstr>MuMix_out_cP_</vt:lpstr>
      <vt:lpstr>muo_list1_</vt:lpstr>
      <vt:lpstr>muo_list2_</vt:lpstr>
      <vt:lpstr>muo_list3_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PVT!P_atma_</vt:lpstr>
      <vt:lpstr>P_dis_atma</vt:lpstr>
      <vt:lpstr>P_mes_atma_</vt:lpstr>
      <vt:lpstr>p_PowerESP_out_Wt</vt:lpstr>
      <vt:lpstr>p_PressureDegradation_</vt:lpstr>
      <vt:lpstr>p_RateDegradation_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Pdis_atma</vt:lpstr>
      <vt:lpstr>Pint_atma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Power_CS_out</vt:lpstr>
      <vt:lpstr>power_degr_fr_</vt:lpstr>
      <vt:lpstr>power_in_cable_out</vt:lpstr>
      <vt:lpstr>Power_motor_nom_kWt_</vt:lpstr>
      <vt:lpstr>Power_motor_out</vt:lpstr>
      <vt:lpstr>power_rp_list_</vt:lpstr>
      <vt:lpstr>power_rp_list_bigger</vt:lpstr>
      <vt:lpstr>power_rp_list_smaller</vt:lpstr>
      <vt:lpstr>Power_shaft_out</vt:lpstr>
      <vt:lpstr>PowerFliud_out_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Rp_m3m3_bigger</vt:lpstr>
      <vt:lpstr>Rp_m3m3_smaller</vt:lpstr>
      <vt:lpstr>rp_multiply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Tdis_C</vt:lpstr>
      <vt:lpstr>Tint_C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viscosity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2018-04-24T09:42:46Z</dcterms:created>
  <dcterms:modified xsi:type="dcterms:W3CDTF">2019-06-14T14:36:44Z</dcterms:modified>
</cp:coreProperties>
</file>